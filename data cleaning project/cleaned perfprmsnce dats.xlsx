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10452" activeTab="2"/>
  </bookViews>
  <sheets>
    <sheet name="raw data" sheetId="1" r:id="rId1"/>
    <sheet name="Guide" sheetId="3" r:id="rId2"/>
    <sheet name="cleaned-data" sheetId="2" r:id="rId3"/>
  </sheets>
  <definedNames>
    <definedName name="_xlnm._FilterDatabase" localSheetId="2" hidden="1">'cleaned-data'!$B$1:$S$201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" i="2"/>
</calcChain>
</file>

<file path=xl/sharedStrings.xml><?xml version="1.0" encoding="utf-8"?>
<sst xmlns="http://schemas.openxmlformats.org/spreadsheetml/2006/main" count="3778" uniqueCount="926">
  <si>
    <t>Full_Name</t>
  </si>
  <si>
    <t>Age</t>
  </si>
  <si>
    <t>Gender</t>
  </si>
  <si>
    <t>City</t>
  </si>
  <si>
    <t>Department</t>
  </si>
  <si>
    <t>Education_Level</t>
  </si>
  <si>
    <t>Employment_Status</t>
  </si>
  <si>
    <t>Monthly_Salary</t>
  </si>
  <si>
    <t>Email</t>
  </si>
  <si>
    <t>Phone_Number</t>
  </si>
  <si>
    <t>Hire_Date</t>
  </si>
  <si>
    <t>Performance_Score</t>
  </si>
  <si>
    <t>Years_Experience</t>
  </si>
  <si>
    <t>Has_Insurance</t>
  </si>
  <si>
    <t>Bonus_Percentage</t>
  </si>
  <si>
    <t>chioma brown</t>
  </si>
  <si>
    <t>Male</t>
  </si>
  <si>
    <t>Kano</t>
  </si>
  <si>
    <t>IT</t>
  </si>
  <si>
    <t>PhD</t>
  </si>
  <si>
    <t>ACTIVE</t>
  </si>
  <si>
    <t>chioma.browncompany.com</t>
  </si>
  <si>
    <t>00000000000</t>
  </si>
  <si>
    <t>2010-08-06</t>
  </si>
  <si>
    <t>yes</t>
  </si>
  <si>
    <t xml:space="preserve">  Tunde Ibrahim  </t>
  </si>
  <si>
    <t>female</t>
  </si>
  <si>
    <t>OND</t>
  </si>
  <si>
    <t>Inactive</t>
  </si>
  <si>
    <t>tunde.ibrahimcompany.com</t>
  </si>
  <si>
    <t>08048840994</t>
  </si>
  <si>
    <t>2015-03-23</t>
  </si>
  <si>
    <t>Karen Davis</t>
  </si>
  <si>
    <t>Unknown</t>
  </si>
  <si>
    <t>New York</t>
  </si>
  <si>
    <t>Legal</t>
  </si>
  <si>
    <t>High School</t>
  </si>
  <si>
    <t>karen.davis@company.com</t>
  </si>
  <si>
    <t>2021-03-13</t>
  </si>
  <si>
    <t>Yes</t>
  </si>
  <si>
    <t xml:space="preserve">  Jennifer Bello  </t>
  </si>
  <si>
    <t>male</t>
  </si>
  <si>
    <t>Finance</t>
  </si>
  <si>
    <t>MSc</t>
  </si>
  <si>
    <t>On Leave</t>
  </si>
  <si>
    <t>08045812670</t>
  </si>
  <si>
    <t>2024-05-17</t>
  </si>
  <si>
    <t xml:space="preserve">  Yusuf Smith  </t>
  </si>
  <si>
    <t>HR</t>
  </si>
  <si>
    <t>M.Sc</t>
  </si>
  <si>
    <t>yusuf.smith@company.com</t>
  </si>
  <si>
    <t>08020570592</t>
  </si>
  <si>
    <t>2020-11-25</t>
  </si>
  <si>
    <t>YES</t>
  </si>
  <si>
    <t>THOMAS IBRAHIM</t>
  </si>
  <si>
    <t>London</t>
  </si>
  <si>
    <t>thomas.ibrahim@company.com</t>
  </si>
  <si>
    <t>08054349361</t>
  </si>
  <si>
    <t>2021-07-13</t>
  </si>
  <si>
    <t>Chioma Brown</t>
  </si>
  <si>
    <t>F</t>
  </si>
  <si>
    <t>Sales</t>
  </si>
  <si>
    <t>Active</t>
  </si>
  <si>
    <t>₦217,945</t>
  </si>
  <si>
    <t>chioma.brown@company.com</t>
  </si>
  <si>
    <t>0802-011-7988</t>
  </si>
  <si>
    <t>06-May-2022</t>
  </si>
  <si>
    <t>karen abubakar</t>
  </si>
  <si>
    <t>Female</t>
  </si>
  <si>
    <t>Ibadan</t>
  </si>
  <si>
    <t>Marketing</t>
  </si>
  <si>
    <t>karen.abubakar@company.com</t>
  </si>
  <si>
    <t>+2348081286543</t>
  </si>
  <si>
    <t>2011-04-11</t>
  </si>
  <si>
    <t>Linda Wilson</t>
  </si>
  <si>
    <t>M</t>
  </si>
  <si>
    <t>Enugu</t>
  </si>
  <si>
    <t>12-13-2015</t>
  </si>
  <si>
    <t>No</t>
  </si>
  <si>
    <t>tunde obi</t>
  </si>
  <si>
    <t>Port Harcourt</t>
  </si>
  <si>
    <t>finance</t>
  </si>
  <si>
    <t>tunde.obi@company.com</t>
  </si>
  <si>
    <t>08016818112</t>
  </si>
  <si>
    <t>2024-03-24</t>
  </si>
  <si>
    <t>NO</t>
  </si>
  <si>
    <t>jessica jones</t>
  </si>
  <si>
    <t>KADUNA</t>
  </si>
  <si>
    <t>Engineering</t>
  </si>
  <si>
    <t>B.Sc</t>
  </si>
  <si>
    <t>jessica.jones@company.com</t>
  </si>
  <si>
    <t>2013-06-20</t>
  </si>
  <si>
    <t xml:space="preserve">  Ibrahim Abubakar  </t>
  </si>
  <si>
    <t>Operations</t>
  </si>
  <si>
    <t>BSc</t>
  </si>
  <si>
    <t>ibrahim.abubakar@company.com</t>
  </si>
  <si>
    <t>08047463522</t>
  </si>
  <si>
    <t>2024-05-22</t>
  </si>
  <si>
    <t xml:space="preserve">  Michael Wilson  </t>
  </si>
  <si>
    <t>Kaduna</t>
  </si>
  <si>
    <t>msc</t>
  </si>
  <si>
    <t>active</t>
  </si>
  <si>
    <t>michael.wilson@company.com</t>
  </si>
  <si>
    <t>08099152472</t>
  </si>
  <si>
    <t>2023-12-23</t>
  </si>
  <si>
    <t>Barbara  Moore</t>
  </si>
  <si>
    <t>barbara.moore@company.com</t>
  </si>
  <si>
    <t>2011-11-26</t>
  </si>
  <si>
    <t>RICHARD ABUBAKAR</t>
  </si>
  <si>
    <t>bsc</t>
  </si>
  <si>
    <t>richard.abubakar@company.com</t>
  </si>
  <si>
    <t>08072350830</t>
  </si>
  <si>
    <t>2022-07-03</t>
  </si>
  <si>
    <t>william davis</t>
  </si>
  <si>
    <t>MALE</t>
  </si>
  <si>
    <t>Benin City</t>
  </si>
  <si>
    <t>HND</t>
  </si>
  <si>
    <t>william.davis@company.com</t>
  </si>
  <si>
    <t>+2348020814950</t>
  </si>
  <si>
    <t>2013-05-20</t>
  </si>
  <si>
    <t xml:space="preserve">  Susan Moore  </t>
  </si>
  <si>
    <t>Lagos</t>
  </si>
  <si>
    <t>Susan@</t>
  </si>
  <si>
    <t>2019-01-26</t>
  </si>
  <si>
    <t xml:space="preserve">  Ngozi Nwosu  </t>
  </si>
  <si>
    <t>ngozi.nwosu@company.com</t>
  </si>
  <si>
    <t>08015403355</t>
  </si>
  <si>
    <t>2010-09-12</t>
  </si>
  <si>
    <t xml:space="preserve">  James Moore  </t>
  </si>
  <si>
    <t>Abuja</t>
  </si>
  <si>
    <t>james.moore@company.com</t>
  </si>
  <si>
    <t>08090585882</t>
  </si>
  <si>
    <t>2012-09-18</t>
  </si>
  <si>
    <t>no</t>
  </si>
  <si>
    <t>Chioma  Wilson</t>
  </si>
  <si>
    <t>Terminated</t>
  </si>
  <si>
    <t>chioma.wilson@company.com</t>
  </si>
  <si>
    <t>+2348070505620</t>
  </si>
  <si>
    <t>2020-06-03</t>
  </si>
  <si>
    <t>Sarah Obi</t>
  </si>
  <si>
    <t>sarah.obi@company.com</t>
  </si>
  <si>
    <t>08088055069</t>
  </si>
  <si>
    <t>2020-08-12</t>
  </si>
  <si>
    <t>Sarah  Wilson</t>
  </si>
  <si>
    <t>sarah.wilson@company.com</t>
  </si>
  <si>
    <t>08046817443</t>
  </si>
  <si>
    <t>2011-03-23</t>
  </si>
  <si>
    <t>Chioma  Johnson</t>
  </si>
  <si>
    <t>chioma.johnson@company.com</t>
  </si>
  <si>
    <t>0806-105-3474</t>
  </si>
  <si>
    <t>2019-12-06</t>
  </si>
  <si>
    <t>Barbara Johnson</t>
  </si>
  <si>
    <t>barbara.johnson@company.com</t>
  </si>
  <si>
    <t>0803-655-0845</t>
  </si>
  <si>
    <t>2012-07-29</t>
  </si>
  <si>
    <t>Lisa Johnson</t>
  </si>
  <si>
    <t>lisa.johnson@company.com</t>
  </si>
  <si>
    <t>2010-11-26</t>
  </si>
  <si>
    <t>Emeka  Nwosu</t>
  </si>
  <si>
    <t>FEMALE</t>
  </si>
  <si>
    <t>emeka.nwosu@company.com</t>
  </si>
  <si>
    <t>08098269682</t>
  </si>
  <si>
    <t>2022-03-03</t>
  </si>
  <si>
    <t>Jennifer  Moore</t>
  </si>
  <si>
    <t>₦737,310</t>
  </si>
  <si>
    <t>jennifer.moore@company.com</t>
  </si>
  <si>
    <t>2016-02-18</t>
  </si>
  <si>
    <t>2015-05-11</t>
  </si>
  <si>
    <t>ROBERT BELLO</t>
  </si>
  <si>
    <t>robert.bello@company.com</t>
  </si>
  <si>
    <t>0808-162-1574</t>
  </si>
  <si>
    <t>2017-02-07</t>
  </si>
  <si>
    <t>david johnson</t>
  </si>
  <si>
    <t>david.johnson@company.com</t>
  </si>
  <si>
    <t>2015-05-27</t>
  </si>
  <si>
    <t>WILLIAM IBRAHIM</t>
  </si>
  <si>
    <t>william.ibrahim@company.com</t>
  </si>
  <si>
    <t>0809-834-6110</t>
  </si>
  <si>
    <t>27-Feb-2016</t>
  </si>
  <si>
    <t>Joseph Johnson</t>
  </si>
  <si>
    <t>joseph.johnson@company.com</t>
  </si>
  <si>
    <t>08077349752</t>
  </si>
  <si>
    <t>2013-09-09</t>
  </si>
  <si>
    <t>Tunde Wilson</t>
  </si>
  <si>
    <t>tunde.wilson@company.com</t>
  </si>
  <si>
    <t>2020-05-31</t>
  </si>
  <si>
    <t>Chioma  Brown</t>
  </si>
  <si>
    <t>2024-06-18</t>
  </si>
  <si>
    <t>FATIMA DAVIS</t>
  </si>
  <si>
    <t>fatima.davis@company.com</t>
  </si>
  <si>
    <t>04-06-2017</t>
  </si>
  <si>
    <t xml:space="preserve">  Chioma Smith  </t>
  </si>
  <si>
    <t>chioma.smith@company.com</t>
  </si>
  <si>
    <t>08026937148</t>
  </si>
  <si>
    <t>2024-01-02</t>
  </si>
  <si>
    <t>Patricia Okafor</t>
  </si>
  <si>
    <t>patricia.okafor@company.com</t>
  </si>
  <si>
    <t>08060015814</t>
  </si>
  <si>
    <t>2012-12-01</t>
  </si>
  <si>
    <t xml:space="preserve">  Ngozi Wilson  </t>
  </si>
  <si>
    <t>ngozi.wilson@company.com</t>
  </si>
  <si>
    <t>08051471222</t>
  </si>
  <si>
    <t>15/11/2017</t>
  </si>
  <si>
    <t>Emeka Williams</t>
  </si>
  <si>
    <t>emeka.williams@company.com</t>
  </si>
  <si>
    <t>0808-960-9131</t>
  </si>
  <si>
    <t>2021-10-26</t>
  </si>
  <si>
    <t>Karen Adeyemi</t>
  </si>
  <si>
    <t>karen.adeyemi@company.com</t>
  </si>
  <si>
    <t>08048858073</t>
  </si>
  <si>
    <t>02-01-2019</t>
  </si>
  <si>
    <t>patricia eze</t>
  </si>
  <si>
    <t>₦666,827</t>
  </si>
  <si>
    <t>patricia.eze@company.com</t>
  </si>
  <si>
    <t>08097980930</t>
  </si>
  <si>
    <t>2013-12-22</t>
  </si>
  <si>
    <t>mary adeyemi</t>
  </si>
  <si>
    <t>mary.adeyemi@company.com</t>
  </si>
  <si>
    <t>0807-805-7490</t>
  </si>
  <si>
    <t>2020-05-18</t>
  </si>
  <si>
    <t>Amara  Ibrahim</t>
  </si>
  <si>
    <t>amara.ibrahim@company.com</t>
  </si>
  <si>
    <t>08096879854</t>
  </si>
  <si>
    <t>2011-06-24</t>
  </si>
  <si>
    <t>Chidi Okafor</t>
  </si>
  <si>
    <t>chidi.okafor@company.com</t>
  </si>
  <si>
    <t>+2348075266178</t>
  </si>
  <si>
    <t>2015-01-30</t>
  </si>
  <si>
    <t>Chidi Garcia</t>
  </si>
  <si>
    <t>chidi.garcia@company.com</t>
  </si>
  <si>
    <t>08042100652</t>
  </si>
  <si>
    <t>2020-07-09</t>
  </si>
  <si>
    <t>Karen  Brown</t>
  </si>
  <si>
    <t>karen.brown@company.com</t>
  </si>
  <si>
    <t>08070549373</t>
  </si>
  <si>
    <t>2010-08-07</t>
  </si>
  <si>
    <t>Lisa Smith</t>
  </si>
  <si>
    <t>lisa.smith@company.com</t>
  </si>
  <si>
    <t>08026354208</t>
  </si>
  <si>
    <t>2015-05-08</t>
  </si>
  <si>
    <t>Thomas  Adeyemi</t>
  </si>
  <si>
    <t>thomas.adeyemi@company.com</t>
  </si>
  <si>
    <t>2010-05-14</t>
  </si>
  <si>
    <t>JOHN IBRAHIM</t>
  </si>
  <si>
    <t>john.ibrahim@company.com</t>
  </si>
  <si>
    <t>08014915156</t>
  </si>
  <si>
    <t>07-05-2024</t>
  </si>
  <si>
    <t>JESSICA WILLIAMS</t>
  </si>
  <si>
    <t>jessica.williams@company.com</t>
  </si>
  <si>
    <t>08069580374</t>
  </si>
  <si>
    <t>01-11-2020</t>
  </si>
  <si>
    <t>Susan Nwosu</t>
  </si>
  <si>
    <t>₦347,094</t>
  </si>
  <si>
    <t>susan.nwosu@company.com</t>
  </si>
  <si>
    <t>08097182566</t>
  </si>
  <si>
    <t>2015-08-07</t>
  </si>
  <si>
    <t>Aisha Ibrahim</t>
  </si>
  <si>
    <t>ENUGU</t>
  </si>
  <si>
    <t>aisha.ibrahim@company.com</t>
  </si>
  <si>
    <t>+2348095590648</t>
  </si>
  <si>
    <t>2018-02-09</t>
  </si>
  <si>
    <t>Thomas  Bello</t>
  </si>
  <si>
    <t>thomas.bello@company.com</t>
  </si>
  <si>
    <t>09/03/2023</t>
  </si>
  <si>
    <t>Chioma Moore</t>
  </si>
  <si>
    <t>chioma.moore@company.com</t>
  </si>
  <si>
    <t>08085647532</t>
  </si>
  <si>
    <t>21-Aug-2010</t>
  </si>
  <si>
    <t>jessica abubakar</t>
  </si>
  <si>
    <t>jessica.abubakar@company.com</t>
  </si>
  <si>
    <t>2012-05-19</t>
  </si>
  <si>
    <t>sarah eze</t>
  </si>
  <si>
    <t>sarah.eze@company.com</t>
  </si>
  <si>
    <t>2020-07-22</t>
  </si>
  <si>
    <t>Lisa Musa</t>
  </si>
  <si>
    <t>lisa.musa@company.com</t>
  </si>
  <si>
    <t>08016080513</t>
  </si>
  <si>
    <t>2013-01-27</t>
  </si>
  <si>
    <t>barbara abubakar</t>
  </si>
  <si>
    <t>2022-12-22</t>
  </si>
  <si>
    <t>Ngozi Musa</t>
  </si>
  <si>
    <t>ngozi.musa@company.com</t>
  </si>
  <si>
    <t>2017-09-05</t>
  </si>
  <si>
    <t xml:space="preserve">  Charles Obi  </t>
  </si>
  <si>
    <t>charles.obi@company.com</t>
  </si>
  <si>
    <t>2020-09-29</t>
  </si>
  <si>
    <t>Ngozi  Jones</t>
  </si>
  <si>
    <t>ngozi.jones@company.com</t>
  </si>
  <si>
    <t>08096690951</t>
  </si>
  <si>
    <t>2012-01-03</t>
  </si>
  <si>
    <t>Yusuf Okafor</t>
  </si>
  <si>
    <t>yusuf.okafor@company.com</t>
  </si>
  <si>
    <t>2015-10-09</t>
  </si>
  <si>
    <t>william nwosu</t>
  </si>
  <si>
    <t>William@</t>
  </si>
  <si>
    <t>0803-143-6829</t>
  </si>
  <si>
    <t>2021-04-09</t>
  </si>
  <si>
    <t>Fatima Miller</t>
  </si>
  <si>
    <t>fatima.miller@company.com</t>
  </si>
  <si>
    <t>+2348077845324</t>
  </si>
  <si>
    <t>2022-11-05</t>
  </si>
  <si>
    <t>Tunde Smith</t>
  </si>
  <si>
    <t>08014259382</t>
  </si>
  <si>
    <t>04/03/2019</t>
  </si>
  <si>
    <t xml:space="preserve">  James Smith  </t>
  </si>
  <si>
    <t>james.smith@company.com</t>
  </si>
  <si>
    <t>08025145751</t>
  </si>
  <si>
    <t>2024-10-22</t>
  </si>
  <si>
    <t>Thomas Moore</t>
  </si>
  <si>
    <t>thomas.moore@company.com</t>
  </si>
  <si>
    <t>0803-966-7854</t>
  </si>
  <si>
    <t>2016-09-27</t>
  </si>
  <si>
    <t>Barbara Jones</t>
  </si>
  <si>
    <t>LONDON</t>
  </si>
  <si>
    <t>08059805178</t>
  </si>
  <si>
    <t>2022-01-05</t>
  </si>
  <si>
    <t xml:space="preserve">  Tunde Brown  </t>
  </si>
  <si>
    <t>tunde.brown@company.com</t>
  </si>
  <si>
    <t>08097069904</t>
  </si>
  <si>
    <t>2016-12-01</t>
  </si>
  <si>
    <t xml:space="preserve">  Robert Miller  </t>
  </si>
  <si>
    <t>robert.miller@company.com</t>
  </si>
  <si>
    <t>2021-01-01</t>
  </si>
  <si>
    <t>John  Jones</t>
  </si>
  <si>
    <t>08065208920</t>
  </si>
  <si>
    <t>2010-05-18</t>
  </si>
  <si>
    <t>Richard Ibrahim</t>
  </si>
  <si>
    <t>richard.ibrahim@company.com</t>
  </si>
  <si>
    <t>2020-09-04</t>
  </si>
  <si>
    <t>KAREN ADELEKE</t>
  </si>
  <si>
    <t>karen.adeleke@company.com</t>
  </si>
  <si>
    <t>2018-09-23</t>
  </si>
  <si>
    <t>william ibrahim</t>
  </si>
  <si>
    <t>ABUJA</t>
  </si>
  <si>
    <t>08019865900</t>
  </si>
  <si>
    <t>05-Jan-2016</t>
  </si>
  <si>
    <t>karen williams</t>
  </si>
  <si>
    <t>karen.williams@company.com</t>
  </si>
  <si>
    <t>07-16-2018</t>
  </si>
  <si>
    <t>david musa</t>
  </si>
  <si>
    <t>698846.1</t>
  </si>
  <si>
    <t>david.musa@company.com</t>
  </si>
  <si>
    <t>08074291599</t>
  </si>
  <si>
    <t>2013-12-26</t>
  </si>
  <si>
    <t>joseph miller</t>
  </si>
  <si>
    <t>NEW YORK</t>
  </si>
  <si>
    <t>joseph.miller@company.com</t>
  </si>
  <si>
    <t>08066791272</t>
  </si>
  <si>
    <t>chioma nwosu</t>
  </si>
  <si>
    <t>chioma.nwosu@company.com</t>
  </si>
  <si>
    <t>0806-021-3478</t>
  </si>
  <si>
    <t>2020-05-21</t>
  </si>
  <si>
    <t>Joseph Okafor</t>
  </si>
  <si>
    <t>joseph.okafor@company.com</t>
  </si>
  <si>
    <t>08031493051</t>
  </si>
  <si>
    <t>2022-07-23</t>
  </si>
  <si>
    <t>Chidi  Williams</t>
  </si>
  <si>
    <t>chidi.williams@company.com</t>
  </si>
  <si>
    <t>2018-10-21</t>
  </si>
  <si>
    <t>Jessica  Garcia</t>
  </si>
  <si>
    <t>jessica.garcia@company.com</t>
  </si>
  <si>
    <t>0801-128-6267</t>
  </si>
  <si>
    <t>2013-01-23</t>
  </si>
  <si>
    <t>Patricia  Adeleke</t>
  </si>
  <si>
    <t>patricia.adeleke@company.com</t>
  </si>
  <si>
    <t>08097734330</t>
  </si>
  <si>
    <t>2015-07-21</t>
  </si>
  <si>
    <t>Chidi  Johnson</t>
  </si>
  <si>
    <t>chidi.johnson@company.com</t>
  </si>
  <si>
    <t>+2348022780905</t>
  </si>
  <si>
    <t>2019-03-26</t>
  </si>
  <si>
    <t>john nwosu</t>
  </si>
  <si>
    <t>john.nwosu@company.com</t>
  </si>
  <si>
    <t>2018-01-13</t>
  </si>
  <si>
    <t>PATRICIA IBRAHIM</t>
  </si>
  <si>
    <t>patricia.ibrahim@company.com</t>
  </si>
  <si>
    <t>08046778269</t>
  </si>
  <si>
    <t>2024-09-06</t>
  </si>
  <si>
    <t>James Smith</t>
  </si>
  <si>
    <t>+2348050165370</t>
  </si>
  <si>
    <t>2018-08-02</t>
  </si>
  <si>
    <t>Patricia  Jones</t>
  </si>
  <si>
    <t>patricia.jones@company.com</t>
  </si>
  <si>
    <t>08091549765</t>
  </si>
  <si>
    <t>2010-08-08</t>
  </si>
  <si>
    <t>Robert  Nwosu</t>
  </si>
  <si>
    <t>Robert@</t>
  </si>
  <si>
    <t>08038956527</t>
  </si>
  <si>
    <t>2011-05-11</t>
  </si>
  <si>
    <t xml:space="preserve">  Charles Williams  </t>
  </si>
  <si>
    <t>charles.williams@company.com</t>
  </si>
  <si>
    <t>08033574794</t>
  </si>
  <si>
    <t>2010-04-14</t>
  </si>
  <si>
    <t>Thomas  Williams</t>
  </si>
  <si>
    <t>sales</t>
  </si>
  <si>
    <t>thomas.williams@company.com</t>
  </si>
  <si>
    <t>2012-08-02</t>
  </si>
  <si>
    <t>William Williams</t>
  </si>
  <si>
    <t>legal</t>
  </si>
  <si>
    <t>william.williams@company.com</t>
  </si>
  <si>
    <t>08047890586</t>
  </si>
  <si>
    <t>2016-12-20</t>
  </si>
  <si>
    <t>James Davis</t>
  </si>
  <si>
    <t>james.davis@company.com</t>
  </si>
  <si>
    <t>0804-196-6313</t>
  </si>
  <si>
    <t>2021-01-13</t>
  </si>
  <si>
    <t>robert davis</t>
  </si>
  <si>
    <t>₦309,002</t>
  </si>
  <si>
    <t>robert.davis@company.com</t>
  </si>
  <si>
    <t>+2348024626086</t>
  </si>
  <si>
    <t>2012-05-15</t>
  </si>
  <si>
    <t>Linda Adeyemi</t>
  </si>
  <si>
    <t>linda.adeyemi@company.com</t>
  </si>
  <si>
    <t>08072014395</t>
  </si>
  <si>
    <t>2013-02-19</t>
  </si>
  <si>
    <t>Mary  Ibrahim</t>
  </si>
  <si>
    <t>mary.ibrahim@company.com</t>
  </si>
  <si>
    <t>0804-756-1442</t>
  </si>
  <si>
    <t>Karen  Abubakar</t>
  </si>
  <si>
    <t>98765.34</t>
  </si>
  <si>
    <t>08081059199</t>
  </si>
  <si>
    <t>2023-02-06</t>
  </si>
  <si>
    <t>Susan</t>
  </si>
  <si>
    <t>susan.adeleke@company.com</t>
  </si>
  <si>
    <t>+2348051480401</t>
  </si>
  <si>
    <t>2020-12-31</t>
  </si>
  <si>
    <t>ngozi brown</t>
  </si>
  <si>
    <t>ngozi.brown@company.com</t>
  </si>
  <si>
    <t>08068635481</t>
  </si>
  <si>
    <t>2024-05-03</t>
  </si>
  <si>
    <t>charles johnson</t>
  </si>
  <si>
    <t>437253.24</t>
  </si>
  <si>
    <t>charles.johnson@company.com</t>
  </si>
  <si>
    <t>08021908603</t>
  </si>
  <si>
    <t>2024-05-02</t>
  </si>
  <si>
    <t>Fatima  Abubakar</t>
  </si>
  <si>
    <t>fatima.abubakarcompany.com</t>
  </si>
  <si>
    <t>+2348060393104</t>
  </si>
  <si>
    <t>2011-09-07</t>
  </si>
  <si>
    <t>William Moore</t>
  </si>
  <si>
    <t>william.moore@company.com</t>
  </si>
  <si>
    <t>0809-055-9564</t>
  </si>
  <si>
    <t>24/06/2014</t>
  </si>
  <si>
    <t>joseph ibrahim</t>
  </si>
  <si>
    <t>joseph.ibrahim@company.com</t>
  </si>
  <si>
    <t>+2348089151743</t>
  </si>
  <si>
    <t>2022-06-02</t>
  </si>
  <si>
    <t>NGOZI IBRAHIM</t>
  </si>
  <si>
    <t>ngozi.ibrahim@company.com</t>
  </si>
  <si>
    <t>08089865944</t>
  </si>
  <si>
    <t>2017-03-04</t>
  </si>
  <si>
    <t>Patricia Brown</t>
  </si>
  <si>
    <t>it</t>
  </si>
  <si>
    <t>patricia.brown@company.com</t>
  </si>
  <si>
    <t>08033112256</t>
  </si>
  <si>
    <t>Ibrahim Davis</t>
  </si>
  <si>
    <t>ibrahim.davis@company.com</t>
  </si>
  <si>
    <t>08075023164</t>
  </si>
  <si>
    <t>2021-08-02</t>
  </si>
  <si>
    <t xml:space="preserve">  Susan Miller  </t>
  </si>
  <si>
    <t>PORT HARCOURT</t>
  </si>
  <si>
    <t>susan.miller@company.com</t>
  </si>
  <si>
    <t>2022-05-14</t>
  </si>
  <si>
    <t>NGOZI SMITH</t>
  </si>
  <si>
    <t>ngozi.smith@company.com</t>
  </si>
  <si>
    <t>0806-688-2385</t>
  </si>
  <si>
    <t>2017-10-27</t>
  </si>
  <si>
    <t>Ibrahim Wilson</t>
  </si>
  <si>
    <t>ibrahim.wilson@company.com</t>
  </si>
  <si>
    <t>2013-02-20</t>
  </si>
  <si>
    <t>Jennifer Obi</t>
  </si>
  <si>
    <t>jennifer.obi@company.com</t>
  </si>
  <si>
    <t>+2348021985619</t>
  </si>
  <si>
    <t>2017-12-20</t>
  </si>
  <si>
    <t>Richard Eze</t>
  </si>
  <si>
    <t>richard.eze@company.com</t>
  </si>
  <si>
    <t>08034207075</t>
  </si>
  <si>
    <t>2011-10-25</t>
  </si>
  <si>
    <t>James Johnson</t>
  </si>
  <si>
    <t>james.johnson@company.com</t>
  </si>
  <si>
    <t>08056217844</t>
  </si>
  <si>
    <t>CHIDI NWOSU</t>
  </si>
  <si>
    <t>chidi.nwosu@company.com</t>
  </si>
  <si>
    <t>08095942441</t>
  </si>
  <si>
    <t>2021-12-29</t>
  </si>
  <si>
    <t xml:space="preserve">  Lisa Musa  </t>
  </si>
  <si>
    <t>+2348080215481</t>
  </si>
  <si>
    <t>2018-01-11</t>
  </si>
  <si>
    <t>08025555976</t>
  </si>
  <si>
    <t>11/01/2011</t>
  </si>
  <si>
    <t>0809-205-0405</t>
  </si>
  <si>
    <t>2018-01-16</t>
  </si>
  <si>
    <t>Amara Musa</t>
  </si>
  <si>
    <t>amara.musa@company.com</t>
  </si>
  <si>
    <t>2013-07-09</t>
  </si>
  <si>
    <t>Ibrahim Abubakar</t>
  </si>
  <si>
    <t>2016-10-31</t>
  </si>
  <si>
    <t>James Okafor</t>
  </si>
  <si>
    <t>james.okafor@company.com</t>
  </si>
  <si>
    <t>08064923338</t>
  </si>
  <si>
    <t>2015-09-15</t>
  </si>
  <si>
    <t>Thomas Jones</t>
  </si>
  <si>
    <t>thomas.jones@company.com</t>
  </si>
  <si>
    <t>+2348087652255</t>
  </si>
  <si>
    <t>17-Nov-2012</t>
  </si>
  <si>
    <t>TUNDE OBI</t>
  </si>
  <si>
    <t>2024-04-14</t>
  </si>
  <si>
    <t>MARY MILLER</t>
  </si>
  <si>
    <t>mary.miller@company.com</t>
  </si>
  <si>
    <t>08070746206</t>
  </si>
  <si>
    <t>2023-10-27</t>
  </si>
  <si>
    <t xml:space="preserve">  William Miller  </t>
  </si>
  <si>
    <t>william.miller@company.com</t>
  </si>
  <si>
    <t>08035970823</t>
  </si>
  <si>
    <t>25-Jan-2020</t>
  </si>
  <si>
    <t>08019150490</t>
  </si>
  <si>
    <t>2021-05-30</t>
  </si>
  <si>
    <t>Fatima Bello</t>
  </si>
  <si>
    <t>fatima.bello@company.com</t>
  </si>
  <si>
    <t>0804-471-5141</t>
  </si>
  <si>
    <t>2018-09-14</t>
  </si>
  <si>
    <t>Barbara Ibrahim</t>
  </si>
  <si>
    <t>LAGOS</t>
  </si>
  <si>
    <t>barbara.ibrahim@company.com</t>
  </si>
  <si>
    <t>08029337491</t>
  </si>
  <si>
    <t>2024-07-13</t>
  </si>
  <si>
    <t>jennifer davis</t>
  </si>
  <si>
    <t>jennifer.davis@company.com</t>
  </si>
  <si>
    <t>2011-08-23</t>
  </si>
  <si>
    <t>robert adeleke</t>
  </si>
  <si>
    <t>robert.adeleke@company.com</t>
  </si>
  <si>
    <t>0805-450-1625</t>
  </si>
  <si>
    <t>2020-05-19</t>
  </si>
  <si>
    <t>Charles  Adeleke</t>
  </si>
  <si>
    <t>charles.adeleke@company.com</t>
  </si>
  <si>
    <t>08039971710</t>
  </si>
  <si>
    <t>2023-03-24</t>
  </si>
  <si>
    <t>Tunde Abubakar</t>
  </si>
  <si>
    <t>tunde.abubakar@company.com</t>
  </si>
  <si>
    <t>0806-208-8975</t>
  </si>
  <si>
    <t>2020-03-13</t>
  </si>
  <si>
    <t>richard adeyemi</t>
  </si>
  <si>
    <t>richard.adeyemi@company.com</t>
  </si>
  <si>
    <t>+2348047689614</t>
  </si>
  <si>
    <t>05-15-2013</t>
  </si>
  <si>
    <t>MARY ADELEKE</t>
  </si>
  <si>
    <t>mary.adeleke@company.com</t>
  </si>
  <si>
    <t>08048044635</t>
  </si>
  <si>
    <t>2014-11-10</t>
  </si>
  <si>
    <t>RICHARD JONES</t>
  </si>
  <si>
    <t>richard.jones@company.com</t>
  </si>
  <si>
    <t>20-Aug-2012</t>
  </si>
  <si>
    <t>AMARA ADELEKE</t>
  </si>
  <si>
    <t>amara.adeleke@company.com</t>
  </si>
  <si>
    <t>2021-09-20</t>
  </si>
  <si>
    <t>chidi obi</t>
  </si>
  <si>
    <t>chidi.obi@company.com</t>
  </si>
  <si>
    <t>08098487446</t>
  </si>
  <si>
    <t>2015-02-26</t>
  </si>
  <si>
    <t>2021-02-01</t>
  </si>
  <si>
    <t xml:space="preserve">  William Nwosu  </t>
  </si>
  <si>
    <t>610586.39</t>
  </si>
  <si>
    <t>william.nwosu@company.com</t>
  </si>
  <si>
    <t>08088239864</t>
  </si>
  <si>
    <t>2017-10-17</t>
  </si>
  <si>
    <t xml:space="preserve">  Charles Wilson  </t>
  </si>
  <si>
    <t>charles.wilson@company.com</t>
  </si>
  <si>
    <t>08074688940</t>
  </si>
  <si>
    <t>14-Oct-2015</t>
  </si>
  <si>
    <t>Aisha Adeleke</t>
  </si>
  <si>
    <t>aisha.adeleke@company.com</t>
  </si>
  <si>
    <t>08093026670</t>
  </si>
  <si>
    <t>2013-07-01</t>
  </si>
  <si>
    <t>Linda  Adeleke</t>
  </si>
  <si>
    <t>linda.adeleke@company.com</t>
  </si>
  <si>
    <t>0807-955-2316</t>
  </si>
  <si>
    <t>2017-01-29</t>
  </si>
  <si>
    <t xml:space="preserve">  Ngozi Adeyemi  </t>
  </si>
  <si>
    <t>ngozi.adeyemi@company.com</t>
  </si>
  <si>
    <t>0808-453-6479</t>
  </si>
  <si>
    <t>18-Jul-2018</t>
  </si>
  <si>
    <t xml:space="preserve">  Mary Miller  </t>
  </si>
  <si>
    <t>08057122567</t>
  </si>
  <si>
    <t>richard williams</t>
  </si>
  <si>
    <t>richard.williams@company.com</t>
  </si>
  <si>
    <t>2023-03-02</t>
  </si>
  <si>
    <t>JOHN BROWN</t>
  </si>
  <si>
    <t>john.brown@company.com</t>
  </si>
  <si>
    <t>08032898616</t>
  </si>
  <si>
    <t>2010-10-15</t>
  </si>
  <si>
    <t>0804-848-8577</t>
  </si>
  <si>
    <t>2022-01-01</t>
  </si>
  <si>
    <t>WILLIAM WILLIAMS</t>
  </si>
  <si>
    <t>+2348065419020</t>
  </si>
  <si>
    <t>07-15-2011</t>
  </si>
  <si>
    <t>JOHN JONES</t>
  </si>
  <si>
    <t>john.jones@company.com</t>
  </si>
  <si>
    <t>08029607576</t>
  </si>
  <si>
    <t>2015-12-24</t>
  </si>
  <si>
    <t>michael abubakar</t>
  </si>
  <si>
    <t>michael.abubakar@company.com</t>
  </si>
  <si>
    <t>08016991067</t>
  </si>
  <si>
    <t>2024-12-14</t>
  </si>
  <si>
    <t>Jennifer  Abubakar</t>
  </si>
  <si>
    <t>jennifer.abubakar@company.com</t>
  </si>
  <si>
    <t>0802-688-8275</t>
  </si>
  <si>
    <t>2015-03-22</t>
  </si>
  <si>
    <t>susan okafor</t>
  </si>
  <si>
    <t>susan.okafor@company.com</t>
  </si>
  <si>
    <t>08010096613</t>
  </si>
  <si>
    <t>2024-04-23</t>
  </si>
  <si>
    <t>Patricia Eze</t>
  </si>
  <si>
    <t>marketing</t>
  </si>
  <si>
    <t>08089228847</t>
  </si>
  <si>
    <t>2011-02-07</t>
  </si>
  <si>
    <t>FATIMA MOORE</t>
  </si>
  <si>
    <t>fatima.moore@company.com</t>
  </si>
  <si>
    <t>2022-07-09</t>
  </si>
  <si>
    <t>Ibrahim Adeyemi</t>
  </si>
  <si>
    <t>ibrahim.adeyemi@company.com</t>
  </si>
  <si>
    <t>0805-831-9528</t>
  </si>
  <si>
    <t>2020-01-14</t>
  </si>
  <si>
    <t>Thomas  Obi</t>
  </si>
  <si>
    <t>thomas.obi@company.com</t>
  </si>
  <si>
    <t>08050305910</t>
  </si>
  <si>
    <t>2022-10-18</t>
  </si>
  <si>
    <t>Aisha Bello</t>
  </si>
  <si>
    <t>aisha.bello@company.com</t>
  </si>
  <si>
    <t xml:space="preserve">  William Williams  </t>
  </si>
  <si>
    <t>+2348080363346</t>
  </si>
  <si>
    <t>2015-06-09</t>
  </si>
  <si>
    <t>mary davis</t>
  </si>
  <si>
    <t>mary.davis@company.com</t>
  </si>
  <si>
    <t>08048612439</t>
  </si>
  <si>
    <t>2017-09-13</t>
  </si>
  <si>
    <t>CHARLES EZE</t>
  </si>
  <si>
    <t>charles.eze@company.com</t>
  </si>
  <si>
    <t>2024-10-21</t>
  </si>
  <si>
    <t>08077276832</t>
  </si>
  <si>
    <t>2011-05-23</t>
  </si>
  <si>
    <t>Yusuf  Musa</t>
  </si>
  <si>
    <t>yusuf.musa@company.com</t>
  </si>
  <si>
    <t>+2348080303981</t>
  </si>
  <si>
    <t>2019-08-25</t>
  </si>
  <si>
    <t>TUNDE WILSON</t>
  </si>
  <si>
    <t>2010-08-02</t>
  </si>
  <si>
    <t xml:space="preserve">  Michael Miller  </t>
  </si>
  <si>
    <t>michael.miller@company.com</t>
  </si>
  <si>
    <t>0805-199-6390</t>
  </si>
  <si>
    <t>2023-09-19</t>
  </si>
  <si>
    <t>barbara ibrahim</t>
  </si>
  <si>
    <t>+2348083337520</t>
  </si>
  <si>
    <t>2018-10-26</t>
  </si>
  <si>
    <t xml:space="preserve">  Lisa Garcia  </t>
  </si>
  <si>
    <t>IBADAN</t>
  </si>
  <si>
    <t>lisa.garcia@company.com</t>
  </si>
  <si>
    <t>0801-688-6777</t>
  </si>
  <si>
    <t>2016-11-28</t>
  </si>
  <si>
    <t>Joseph Williams</t>
  </si>
  <si>
    <t>Joseph@</t>
  </si>
  <si>
    <t>+2348014928616</t>
  </si>
  <si>
    <t>2010-09-23</t>
  </si>
  <si>
    <t>mary williams</t>
  </si>
  <si>
    <t>mary.williams@company.com</t>
  </si>
  <si>
    <t>08046831833</t>
  </si>
  <si>
    <t>2021-10-27</t>
  </si>
  <si>
    <t>Lisa  Adeyemi</t>
  </si>
  <si>
    <t>lisa.adeyemi@company.com</t>
  </si>
  <si>
    <t>08035978571</t>
  </si>
  <si>
    <t>26-Aug-2012</t>
  </si>
  <si>
    <t>2013-01-17</t>
  </si>
  <si>
    <t>AISHA ADEYEMI</t>
  </si>
  <si>
    <t>aisha.adeyemi@company.com</t>
  </si>
  <si>
    <t>08025682621</t>
  </si>
  <si>
    <t>2016-11-30</t>
  </si>
  <si>
    <t>+2348027812995</t>
  </si>
  <si>
    <t>2010-10-27</t>
  </si>
  <si>
    <t xml:space="preserve">  William Obi  </t>
  </si>
  <si>
    <t>william.obi@company.com</t>
  </si>
  <si>
    <t>08083734610</t>
  </si>
  <si>
    <t>30-Jan-2016</t>
  </si>
  <si>
    <t>15-Dec-2012</t>
  </si>
  <si>
    <t xml:space="preserve">  Sarah Brown  </t>
  </si>
  <si>
    <t>08097167893</t>
  </si>
  <si>
    <t>2016-10-10</t>
  </si>
  <si>
    <t>2012-06-09</t>
  </si>
  <si>
    <t>Aisha Okafor</t>
  </si>
  <si>
    <t>aisha.okafor@company.com</t>
  </si>
  <si>
    <t>0807-850-7933</t>
  </si>
  <si>
    <t>2012-11-10</t>
  </si>
  <si>
    <t xml:space="preserve">  Karen Miller  </t>
  </si>
  <si>
    <t>karen.miller@company.com</t>
  </si>
  <si>
    <t>08028022414</t>
  </si>
  <si>
    <t>2011-08-11</t>
  </si>
  <si>
    <t>Susan  Davis</t>
  </si>
  <si>
    <t>susan.davis@company.com</t>
  </si>
  <si>
    <t>2020-11-02</t>
  </si>
  <si>
    <t>emeka obi</t>
  </si>
  <si>
    <t>emeka.obi@company.com</t>
  </si>
  <si>
    <t>08057367387</t>
  </si>
  <si>
    <t>2016-08-10</t>
  </si>
  <si>
    <t>Chidi  Wilson</t>
  </si>
  <si>
    <t>chidi.wilson@company.com</t>
  </si>
  <si>
    <t>08059629263</t>
  </si>
  <si>
    <t>2013-12-07</t>
  </si>
  <si>
    <t>charles adeyemi</t>
  </si>
  <si>
    <t>charles.adeyemi@company.com</t>
  </si>
  <si>
    <t>0806-235-4374</t>
  </si>
  <si>
    <t>2015-11-22</t>
  </si>
  <si>
    <t>William  Brown</t>
  </si>
  <si>
    <t>william.brown@company.com</t>
  </si>
  <si>
    <t>08034148004</t>
  </si>
  <si>
    <t>2022-04-14</t>
  </si>
  <si>
    <t>John Musa</t>
  </si>
  <si>
    <t>08047095573</t>
  </si>
  <si>
    <t>2019-07-30</t>
  </si>
  <si>
    <t>sarah.brown@company.com</t>
  </si>
  <si>
    <t>08069845276</t>
  </si>
  <si>
    <t>01-Mar-2021</t>
  </si>
  <si>
    <t>Karen</t>
  </si>
  <si>
    <t>08096848857</t>
  </si>
  <si>
    <t>2018-03-12</t>
  </si>
  <si>
    <t>Mary  Miller</t>
  </si>
  <si>
    <t>08012203625</t>
  </si>
  <si>
    <t>11-Aug-2017</t>
  </si>
  <si>
    <t>MARY DAVIS</t>
  </si>
  <si>
    <t>08024271532</t>
  </si>
  <si>
    <t>2021-02-24</t>
  </si>
  <si>
    <t>ngozi bello</t>
  </si>
  <si>
    <t>ngozi.bello@company.com</t>
  </si>
  <si>
    <t>08031173338</t>
  </si>
  <si>
    <t>2020-12-03</t>
  </si>
  <si>
    <t>Jennifer Abubakar</t>
  </si>
  <si>
    <t>2014-12-02</t>
  </si>
  <si>
    <t>Mary Obi</t>
  </si>
  <si>
    <t>mary.obi@company.com</t>
  </si>
  <si>
    <t>+2348053712695</t>
  </si>
  <si>
    <t>2012-06-21</t>
  </si>
  <si>
    <t>CHIOMA ADEYEMI</t>
  </si>
  <si>
    <t>chioma.adeyemi@company.com</t>
  </si>
  <si>
    <t>+2348056113991</t>
  </si>
  <si>
    <t>2016-08-14</t>
  </si>
  <si>
    <t>0802-315-3230</t>
  </si>
  <si>
    <t>2021-02-09</t>
  </si>
  <si>
    <t>richard garcia</t>
  </si>
  <si>
    <t>richard.garcia@company.com</t>
  </si>
  <si>
    <t>2023-09-27</t>
  </si>
  <si>
    <t>amara miller</t>
  </si>
  <si>
    <t>amara.miller@company.com</t>
  </si>
  <si>
    <t>08040257672</t>
  </si>
  <si>
    <t>2017-11-29</t>
  </si>
  <si>
    <t xml:space="preserve">  Chidi Williams  </t>
  </si>
  <si>
    <t>287628.34</t>
  </si>
  <si>
    <t>08030199508</t>
  </si>
  <si>
    <t>2014-08-01</t>
  </si>
  <si>
    <t>08074994010</t>
  </si>
  <si>
    <t>2016-06-18</t>
  </si>
  <si>
    <t>david adeleke</t>
  </si>
  <si>
    <t>david.adeleke@company.com</t>
  </si>
  <si>
    <t>2016-10-06</t>
  </si>
  <si>
    <t xml:space="preserve">  Robert Adeleke  </t>
  </si>
  <si>
    <t>0803-957-6862</t>
  </si>
  <si>
    <t>2018-01-06</t>
  </si>
  <si>
    <t>ibrahim bello</t>
  </si>
  <si>
    <t>ibrahim.bello@company.com</t>
  </si>
  <si>
    <t>08069391930</t>
  </si>
  <si>
    <t>2013-09-03</t>
  </si>
  <si>
    <t>Jennifer  Obi</t>
  </si>
  <si>
    <t>2020-05-24</t>
  </si>
  <si>
    <t>Tunde  Adeyemi</t>
  </si>
  <si>
    <t>Tunde@</t>
  </si>
  <si>
    <t>2011-04-25</t>
  </si>
  <si>
    <t>Tunde Ibrahim</t>
  </si>
  <si>
    <t>Jennifer Bello</t>
  </si>
  <si>
    <t>Yusuf Smith</t>
  </si>
  <si>
    <t>Thomas Ibrahim</t>
  </si>
  <si>
    <t>Karen Abubakar</t>
  </si>
  <si>
    <t>Tunde Obi</t>
  </si>
  <si>
    <t>Jessica Jones</t>
  </si>
  <si>
    <t>Michael Wilson</t>
  </si>
  <si>
    <t>Barbara Moore</t>
  </si>
  <si>
    <t>Richard Abubakar</t>
  </si>
  <si>
    <t>William Davis</t>
  </si>
  <si>
    <t>Susan Moore</t>
  </si>
  <si>
    <t>Ngozi Nwosu</t>
  </si>
  <si>
    <t>James Moore</t>
  </si>
  <si>
    <t>Chioma Wilson</t>
  </si>
  <si>
    <t>Sarah Wilson</t>
  </si>
  <si>
    <t>Chioma Johnson</t>
  </si>
  <si>
    <t>Emeka Nwosu</t>
  </si>
  <si>
    <t>Jennifer Moore</t>
  </si>
  <si>
    <t>Robert Bello</t>
  </si>
  <si>
    <t>David Johnson</t>
  </si>
  <si>
    <t>William Ibrahim</t>
  </si>
  <si>
    <t>Fatima Davis</t>
  </si>
  <si>
    <t>Chioma Smith</t>
  </si>
  <si>
    <t>Ngozi Wilson</t>
  </si>
  <si>
    <t>Mary Adeyemi</t>
  </si>
  <si>
    <t>Amara Ibrahim</t>
  </si>
  <si>
    <t>Karen Brown</t>
  </si>
  <si>
    <t>Thomas Adeyemi</t>
  </si>
  <si>
    <t>John Ibrahim</t>
  </si>
  <si>
    <t>Jessica Williams</t>
  </si>
  <si>
    <t>Thomas Bello</t>
  </si>
  <si>
    <t>Jessica Abubakar</t>
  </si>
  <si>
    <t>Sarah Eze</t>
  </si>
  <si>
    <t>Barbara Abubakar</t>
  </si>
  <si>
    <t>Charles Obi</t>
  </si>
  <si>
    <t>Ngozi Jones</t>
  </si>
  <si>
    <t>William Nwosu</t>
  </si>
  <si>
    <t>Tunde Brown</t>
  </si>
  <si>
    <t>Robert Miller</t>
  </si>
  <si>
    <t>John Jones</t>
  </si>
  <si>
    <t>Karen Adeleke</t>
  </si>
  <si>
    <t>Karen Williams</t>
  </si>
  <si>
    <t>David Musa</t>
  </si>
  <si>
    <t>Joseph Miller</t>
  </si>
  <si>
    <t>Chioma Nwosu</t>
  </si>
  <si>
    <t>Chidi Williams</t>
  </si>
  <si>
    <t>Jessica Garcia</t>
  </si>
  <si>
    <t>Patricia Adeleke</t>
  </si>
  <si>
    <t>Chidi Johnson</t>
  </si>
  <si>
    <t>John Nwosu</t>
  </si>
  <si>
    <t>Patricia Ibrahim</t>
  </si>
  <si>
    <t>Patricia Jones</t>
  </si>
  <si>
    <t>Robert Nwosu</t>
  </si>
  <si>
    <t>Charles Williams</t>
  </si>
  <si>
    <t>Thomas Williams</t>
  </si>
  <si>
    <t>Robert Davis</t>
  </si>
  <si>
    <t>Mary Ibrahim</t>
  </si>
  <si>
    <t>Ngozi Brown</t>
  </si>
  <si>
    <t>Charles Johnson</t>
  </si>
  <si>
    <t>Fatima Abubakar</t>
  </si>
  <si>
    <t>Joseph Ibrahim</t>
  </si>
  <si>
    <t>Ngozi Ibrahim</t>
  </si>
  <si>
    <t>Susan Miller</t>
  </si>
  <si>
    <t>Ngozi Smith</t>
  </si>
  <si>
    <t>Chidi Nwosu</t>
  </si>
  <si>
    <t>Mary Miller</t>
  </si>
  <si>
    <t>William Miller</t>
  </si>
  <si>
    <t>Jennifer Davis</t>
  </si>
  <si>
    <t>Robert Adeleke</t>
  </si>
  <si>
    <t>Charles Adeleke</t>
  </si>
  <si>
    <t>Richard Adeyemi</t>
  </si>
  <si>
    <t>Mary Adeleke</t>
  </si>
  <si>
    <t>Richard Jones</t>
  </si>
  <si>
    <t>Amara Adeleke</t>
  </si>
  <si>
    <t>Chidi Obi</t>
  </si>
  <si>
    <t>Charles Wilson</t>
  </si>
  <si>
    <t>Linda Adeleke</t>
  </si>
  <si>
    <t>Ngozi Adeyemi</t>
  </si>
  <si>
    <t>Richard Williams</t>
  </si>
  <si>
    <t>John Brown</t>
  </si>
  <si>
    <t>Michael Abubakar</t>
  </si>
  <si>
    <t>Susan Okafor</t>
  </si>
  <si>
    <t>Fatima Moore</t>
  </si>
  <si>
    <t>Thomas Obi</t>
  </si>
  <si>
    <t>Mary Davis</t>
  </si>
  <si>
    <t>Charles Eze</t>
  </si>
  <si>
    <t>Yusuf Musa</t>
  </si>
  <si>
    <t>Michael Miller</t>
  </si>
  <si>
    <t>Lisa Garcia</t>
  </si>
  <si>
    <t>Mary Williams</t>
  </si>
  <si>
    <t>Lisa Adeyemi</t>
  </si>
  <si>
    <t>Aisha Adeyemi</t>
  </si>
  <si>
    <t>William Obi</t>
  </si>
  <si>
    <t>Sarah Brown</t>
  </si>
  <si>
    <t>Karen Miller</t>
  </si>
  <si>
    <t>Susan Davis</t>
  </si>
  <si>
    <t>Emeka Obi</t>
  </si>
  <si>
    <t>Chidi Wilson</t>
  </si>
  <si>
    <t>Charles Adeyemi</t>
  </si>
  <si>
    <t>William Brown</t>
  </si>
  <si>
    <t>Ngozi Bello</t>
  </si>
  <si>
    <t>Chioma Adeyemi</t>
  </si>
  <si>
    <t>Richard Garcia</t>
  </si>
  <si>
    <t>Amara Miller</t>
  </si>
  <si>
    <t>David Adeleke</t>
  </si>
  <si>
    <t>Ibrahim Bello</t>
  </si>
  <si>
    <t>Tunde Adeyemi</t>
  </si>
  <si>
    <t>ISSUE</t>
  </si>
  <si>
    <t>DESCRIPTION</t>
  </si>
  <si>
    <t xml:space="preserve">COLUMN </t>
  </si>
  <si>
    <t>FULL NAME</t>
  </si>
  <si>
    <t>SOLUTION</t>
  </si>
  <si>
    <t>Proper format</t>
  </si>
  <si>
    <t>blank and negative figure</t>
  </si>
  <si>
    <t>N/A</t>
  </si>
  <si>
    <t xml:space="preserve">Inconsistent formatting </t>
  </si>
  <si>
    <t>Inconsistent formatting  and blank</t>
  </si>
  <si>
    <t xml:space="preserve"> Convert blank ,negative figure and above 60 to N/A</t>
  </si>
  <si>
    <t>Dept</t>
  </si>
  <si>
    <t>DEPT</t>
  </si>
  <si>
    <t>Education level</t>
  </si>
  <si>
    <t>Emplyment Status</t>
  </si>
  <si>
    <t>Employement Status</t>
  </si>
  <si>
    <t>Proper format and coverting blank to N/A</t>
  </si>
  <si>
    <t>EMP ID</t>
  </si>
  <si>
    <t xml:space="preserve">Monthly_salary </t>
  </si>
  <si>
    <t>Day</t>
  </si>
  <si>
    <t>Month</t>
  </si>
  <si>
    <t>Year</t>
  </si>
  <si>
    <t>Has-insurance</t>
  </si>
  <si>
    <t/>
  </si>
  <si>
    <t>Mixed case, extra spaces, missing last names</t>
  </si>
  <si>
    <t>Values like 0, 150, 999, -5 and nulls</t>
  </si>
  <si>
    <t>M/F/Male/Female/MALE/FEMALE/Unknown/blank</t>
  </si>
  <si>
    <t>Some cities in ALL CAPS, some nulls</t>
  </si>
  <si>
    <t>Some in lowercase, some nulls</t>
  </si>
  <si>
    <t>BSc/B.Sc/bsc all mean the same</t>
  </si>
  <si>
    <t>Active/active/ACTIVE and blanks</t>
  </si>
  <si>
    <t>Numbers, strings with ₦ symbol, negatives, nulls</t>
  </si>
  <si>
    <t>YYYY-MM-DD, DD/MM/YYYY, MM-DD-YYYY, DD-Mon-YYYY</t>
  </si>
  <si>
    <t>Valid range 1-10; values like 0, 11, 100, -1</t>
  </si>
  <si>
    <t>Random nulls</t>
  </si>
  <si>
    <t>Yes/No/yes/no/YES/NO and nulls</t>
  </si>
  <si>
    <t>Random nulls (~6%)</t>
  </si>
  <si>
    <t>~8 fully duplicated rows injected</t>
  </si>
  <si>
    <t>Duplicates</t>
  </si>
  <si>
    <t>Mixed types &amp; Negatives</t>
  </si>
  <si>
    <t>Multiple date formats</t>
  </si>
  <si>
    <t>Outliers &amp; Missing</t>
  </si>
  <si>
    <t>Missing values</t>
  </si>
  <si>
    <t>Inconsistent categories</t>
  </si>
  <si>
    <t>Duplicate rows</t>
  </si>
  <si>
    <t>Coverting missing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</si>
</sst>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(&quot;$&quot;* #,##0_);_(&quot;$&quot;* \(#,##0\);_(&quot;$&quot;* &quot;-&quot;_);_(@_)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2E40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42" fontId="1" fillId="2" borderId="0" xfId="0" applyNumberFormat="1" applyFont="1" applyFill="1" applyAlignment="1">
      <alignment horizontal="center" vertical="center"/>
    </xf>
    <xf numFmtId="42" fontId="0" fillId="0" borderId="0" xfId="0" applyNumberFormat="1"/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8">
    <dxf>
      <numFmt numFmtId="19" formatCode="m/d/yyyy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E4057"/>
        </patternFill>
      </fill>
      <alignment horizontal="center" vertical="center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32" formatCode="_(&quot;$&quot;* #,##0_);_(&quot;$&quot;* \(#,##0\);_(&quot;$&quot;* &quot;-&quot;_);_(@_)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S201" totalsRowShown="0" headerRowDxfId="3">
  <autoFilter ref="A1:S201"/>
  <tableColumns count="19">
    <tableColumn id="20" name="EMP ID" dataDxfId="2">
      <calculatedColumnFormula>"EMP"&amp;TEXT(ROW()-1,"000")</calculatedColumnFormula>
    </tableColumn>
    <tableColumn id="1" name="Full_Name"/>
    <tableColumn id="2" name="Age"/>
    <tableColumn id="3" name="Gender"/>
    <tableColumn id="4" name="City"/>
    <tableColumn id="5" name="Dept"/>
    <tableColumn id="6" name="Education_Level"/>
    <tableColumn id="7" name="Emplyment Status" dataDxfId="7"/>
    <tableColumn id="8" name="Monthly_salary " dataDxfId="6"/>
    <tableColumn id="9" name="Email"/>
    <tableColumn id="10" name="Phone_Number"/>
    <tableColumn id="11" name="Hire_Date" dataDxfId="1"/>
    <tableColumn id="12" name="Day" dataDxfId="0">
      <calculatedColumnFormula>TEXT(Table2[[#This Row],[Hire_Date]],"ddd")</calculatedColumnFormula>
    </tableColumn>
    <tableColumn id="13" name="Month" dataDxfId="5">
      <calculatedColumnFormula>TEXT(L2,"MMM")</calculatedColumnFormula>
    </tableColumn>
    <tableColumn id="14" name="Year" dataDxfId="4">
      <calculatedColumnFormula>TEXT(L2,"YYY")</calculatedColumnFormula>
    </tableColumn>
    <tableColumn id="15" name="Performance_Score"/>
    <tableColumn id="16" name="Years_Experience"/>
    <tableColumn id="17" name="Has-insurance"/>
    <tableColumn id="18" name="Bonus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workbookViewId="0">
      <selection sqref="A1:XFD104857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37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 t="s">
        <v>23</v>
      </c>
      <c r="L2">
        <v>9.6</v>
      </c>
      <c r="M2">
        <v>6</v>
      </c>
      <c r="N2" t="s">
        <v>24</v>
      </c>
      <c r="O2">
        <v>80.7</v>
      </c>
    </row>
    <row r="3" spans="1:15" x14ac:dyDescent="0.3">
      <c r="A3" t="s">
        <v>25</v>
      </c>
      <c r="B3">
        <v>27</v>
      </c>
      <c r="C3" t="s">
        <v>26</v>
      </c>
      <c r="D3" t="s">
        <v>17</v>
      </c>
      <c r="E3" t="s">
        <v>18</v>
      </c>
      <c r="F3" t="s">
        <v>27</v>
      </c>
      <c r="G3" t="s">
        <v>28</v>
      </c>
      <c r="H3">
        <v>525334.22</v>
      </c>
      <c r="I3" t="s">
        <v>29</v>
      </c>
      <c r="J3" t="s">
        <v>30</v>
      </c>
      <c r="K3" t="s">
        <v>31</v>
      </c>
      <c r="L3">
        <v>6.5</v>
      </c>
      <c r="M3">
        <v>10</v>
      </c>
      <c r="N3" t="s">
        <v>24</v>
      </c>
      <c r="O3">
        <v>64</v>
      </c>
    </row>
    <row r="4" spans="1:15" x14ac:dyDescent="0.3">
      <c r="A4" t="s">
        <v>32</v>
      </c>
      <c r="B4">
        <v>36</v>
      </c>
      <c r="C4" t="s">
        <v>33</v>
      </c>
      <c r="D4" t="s">
        <v>34</v>
      </c>
      <c r="E4" t="s">
        <v>35</v>
      </c>
      <c r="F4" t="s">
        <v>36</v>
      </c>
      <c r="H4">
        <v>368838.65</v>
      </c>
      <c r="I4" t="s">
        <v>37</v>
      </c>
      <c r="K4" t="s">
        <v>38</v>
      </c>
      <c r="L4">
        <v>4.3</v>
      </c>
      <c r="M4">
        <v>31</v>
      </c>
      <c r="N4" t="s">
        <v>39</v>
      </c>
      <c r="O4">
        <v>15.3</v>
      </c>
    </row>
    <row r="5" spans="1:15" x14ac:dyDescent="0.3">
      <c r="A5" t="s">
        <v>40</v>
      </c>
      <c r="B5">
        <v>46</v>
      </c>
      <c r="C5" t="s">
        <v>41</v>
      </c>
      <c r="D5" t="s">
        <v>34</v>
      </c>
      <c r="E5" t="s">
        <v>42</v>
      </c>
      <c r="F5" t="s">
        <v>43</v>
      </c>
      <c r="G5" t="s">
        <v>44</v>
      </c>
      <c r="H5">
        <v>261018.17</v>
      </c>
      <c r="J5" t="s">
        <v>45</v>
      </c>
      <c r="K5" t="s">
        <v>46</v>
      </c>
      <c r="L5">
        <v>8.6</v>
      </c>
      <c r="M5">
        <v>23</v>
      </c>
      <c r="O5">
        <v>92.2</v>
      </c>
    </row>
    <row r="6" spans="1:15" x14ac:dyDescent="0.3">
      <c r="A6" t="s">
        <v>47</v>
      </c>
      <c r="B6">
        <v>23</v>
      </c>
      <c r="C6" t="s">
        <v>33</v>
      </c>
      <c r="D6" t="s">
        <v>17</v>
      </c>
      <c r="E6" t="s">
        <v>48</v>
      </c>
      <c r="F6" t="s">
        <v>49</v>
      </c>
      <c r="G6" t="s">
        <v>20</v>
      </c>
      <c r="H6">
        <v>789431.39</v>
      </c>
      <c r="I6" t="s">
        <v>50</v>
      </c>
      <c r="J6" t="s">
        <v>51</v>
      </c>
      <c r="K6" t="s">
        <v>52</v>
      </c>
      <c r="L6">
        <v>9.4</v>
      </c>
      <c r="M6">
        <v>19</v>
      </c>
      <c r="N6" t="s">
        <v>53</v>
      </c>
      <c r="O6">
        <v>43.8</v>
      </c>
    </row>
    <row r="7" spans="1:15" x14ac:dyDescent="0.3">
      <c r="A7" t="s">
        <v>54</v>
      </c>
      <c r="B7">
        <v>26</v>
      </c>
      <c r="D7" t="s">
        <v>55</v>
      </c>
      <c r="E7" t="s">
        <v>35</v>
      </c>
      <c r="F7" t="s">
        <v>49</v>
      </c>
      <c r="G7" t="s">
        <v>20</v>
      </c>
      <c r="H7">
        <v>245682.61</v>
      </c>
      <c r="I7" t="s">
        <v>56</v>
      </c>
      <c r="J7" t="s">
        <v>57</v>
      </c>
      <c r="K7" t="s">
        <v>58</v>
      </c>
      <c r="L7">
        <v>1.8</v>
      </c>
      <c r="M7">
        <v>26</v>
      </c>
      <c r="N7" t="s">
        <v>53</v>
      </c>
    </row>
    <row r="8" spans="1:15" x14ac:dyDescent="0.3">
      <c r="A8" t="s">
        <v>59</v>
      </c>
      <c r="B8">
        <v>43</v>
      </c>
      <c r="C8" t="s">
        <v>60</v>
      </c>
      <c r="D8" t="s">
        <v>17</v>
      </c>
      <c r="E8" t="s">
        <v>61</v>
      </c>
      <c r="F8" t="s">
        <v>49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>
        <v>-1</v>
      </c>
      <c r="M8">
        <v>29</v>
      </c>
      <c r="N8" t="s">
        <v>53</v>
      </c>
      <c r="O8">
        <v>99.5</v>
      </c>
    </row>
    <row r="9" spans="1:15" x14ac:dyDescent="0.3">
      <c r="A9" t="s">
        <v>67</v>
      </c>
      <c r="B9">
        <v>35</v>
      </c>
      <c r="C9" t="s">
        <v>68</v>
      </c>
      <c r="D9" t="s">
        <v>69</v>
      </c>
      <c r="E9" t="s">
        <v>70</v>
      </c>
      <c r="F9" t="s">
        <v>36</v>
      </c>
      <c r="G9" t="s">
        <v>20</v>
      </c>
      <c r="H9">
        <v>470380.54</v>
      </c>
      <c r="I9" t="s">
        <v>71</v>
      </c>
      <c r="J9" t="s">
        <v>72</v>
      </c>
      <c r="K9" t="s">
        <v>73</v>
      </c>
      <c r="L9">
        <v>0</v>
      </c>
      <c r="M9">
        <v>33</v>
      </c>
      <c r="N9" t="s">
        <v>24</v>
      </c>
      <c r="O9">
        <v>71.599999999999994</v>
      </c>
    </row>
    <row r="10" spans="1:15" x14ac:dyDescent="0.3">
      <c r="A10" t="s">
        <v>74</v>
      </c>
      <c r="B10">
        <v>41</v>
      </c>
      <c r="C10" t="s">
        <v>75</v>
      </c>
      <c r="D10" t="s">
        <v>76</v>
      </c>
      <c r="E10" t="s">
        <v>70</v>
      </c>
      <c r="F10" t="s">
        <v>36</v>
      </c>
      <c r="G10" t="s">
        <v>62</v>
      </c>
      <c r="H10">
        <v>753728.69</v>
      </c>
      <c r="J10" t="s">
        <v>22</v>
      </c>
      <c r="K10" t="s">
        <v>77</v>
      </c>
      <c r="L10">
        <v>1.1000000000000001</v>
      </c>
      <c r="M10">
        <v>6</v>
      </c>
      <c r="N10" t="s">
        <v>78</v>
      </c>
      <c r="O10">
        <v>89</v>
      </c>
    </row>
    <row r="11" spans="1:15" x14ac:dyDescent="0.3">
      <c r="A11" t="s">
        <v>79</v>
      </c>
      <c r="B11">
        <v>60</v>
      </c>
      <c r="C11" t="s">
        <v>75</v>
      </c>
      <c r="D11" t="s">
        <v>80</v>
      </c>
      <c r="E11" t="s">
        <v>81</v>
      </c>
      <c r="F11" t="s">
        <v>49</v>
      </c>
      <c r="G11" t="s">
        <v>62</v>
      </c>
      <c r="H11">
        <v>574997.93000000005</v>
      </c>
      <c r="I11" t="s">
        <v>82</v>
      </c>
      <c r="J11" t="s">
        <v>83</v>
      </c>
      <c r="K11" t="s">
        <v>84</v>
      </c>
      <c r="L11">
        <v>1.1000000000000001</v>
      </c>
      <c r="M11">
        <v>9</v>
      </c>
      <c r="N11" t="s">
        <v>85</v>
      </c>
      <c r="O11">
        <v>55.3</v>
      </c>
    </row>
    <row r="12" spans="1:15" x14ac:dyDescent="0.3">
      <c r="A12" t="s">
        <v>86</v>
      </c>
      <c r="B12">
        <v>24</v>
      </c>
      <c r="C12" t="s">
        <v>75</v>
      </c>
      <c r="D12" t="s">
        <v>87</v>
      </c>
      <c r="E12" t="s">
        <v>88</v>
      </c>
      <c r="F12" t="s">
        <v>89</v>
      </c>
      <c r="H12">
        <v>259661.41</v>
      </c>
      <c r="I12" t="s">
        <v>90</v>
      </c>
      <c r="K12" t="s">
        <v>91</v>
      </c>
      <c r="L12">
        <v>8.1999999999999993</v>
      </c>
      <c r="M12">
        <v>17</v>
      </c>
      <c r="N12" t="s">
        <v>53</v>
      </c>
      <c r="O12">
        <v>87.2</v>
      </c>
    </row>
    <row r="13" spans="1:15" x14ac:dyDescent="0.3">
      <c r="A13" t="s">
        <v>92</v>
      </c>
      <c r="B13">
        <v>44</v>
      </c>
      <c r="C13" t="s">
        <v>41</v>
      </c>
      <c r="D13" t="s">
        <v>17</v>
      </c>
      <c r="E13" t="s">
        <v>93</v>
      </c>
      <c r="F13" t="s">
        <v>94</v>
      </c>
      <c r="G13" t="s">
        <v>28</v>
      </c>
      <c r="H13">
        <v>243868.75</v>
      </c>
      <c r="I13" t="s">
        <v>95</v>
      </c>
      <c r="J13" t="s">
        <v>96</v>
      </c>
      <c r="K13" t="s">
        <v>97</v>
      </c>
      <c r="L13">
        <v>6.4</v>
      </c>
      <c r="M13">
        <v>27</v>
      </c>
      <c r="O13">
        <v>90</v>
      </c>
    </row>
    <row r="14" spans="1:15" x14ac:dyDescent="0.3">
      <c r="A14" t="s">
        <v>98</v>
      </c>
      <c r="B14">
        <v>22</v>
      </c>
      <c r="C14" t="s">
        <v>41</v>
      </c>
      <c r="D14" t="s">
        <v>99</v>
      </c>
      <c r="E14" t="s">
        <v>70</v>
      </c>
      <c r="F14" t="s">
        <v>100</v>
      </c>
      <c r="G14" t="s">
        <v>101</v>
      </c>
      <c r="H14">
        <v>574537.15</v>
      </c>
      <c r="I14" t="s">
        <v>102</v>
      </c>
      <c r="J14" t="s">
        <v>103</v>
      </c>
      <c r="K14" t="s">
        <v>104</v>
      </c>
      <c r="L14">
        <v>2.7</v>
      </c>
      <c r="M14">
        <v>11</v>
      </c>
      <c r="N14" t="s">
        <v>24</v>
      </c>
      <c r="O14">
        <v>83.4</v>
      </c>
    </row>
    <row r="15" spans="1:15" x14ac:dyDescent="0.3">
      <c r="A15" t="s">
        <v>105</v>
      </c>
      <c r="B15">
        <v>60</v>
      </c>
      <c r="C15" t="s">
        <v>60</v>
      </c>
      <c r="D15" t="s">
        <v>80</v>
      </c>
      <c r="E15" t="s">
        <v>93</v>
      </c>
      <c r="F15" t="s">
        <v>94</v>
      </c>
      <c r="G15" t="s">
        <v>62</v>
      </c>
      <c r="H15">
        <v>398355.06</v>
      </c>
      <c r="I15" t="s">
        <v>106</v>
      </c>
      <c r="K15" t="s">
        <v>107</v>
      </c>
      <c r="L15">
        <v>3.2</v>
      </c>
      <c r="M15">
        <v>4</v>
      </c>
      <c r="N15" t="s">
        <v>53</v>
      </c>
      <c r="O15">
        <v>71.8</v>
      </c>
    </row>
    <row r="16" spans="1:15" x14ac:dyDescent="0.3">
      <c r="A16" t="s">
        <v>108</v>
      </c>
      <c r="B16">
        <v>22</v>
      </c>
      <c r="C16" t="s">
        <v>33</v>
      </c>
      <c r="D16" t="s">
        <v>34</v>
      </c>
      <c r="E16" t="s">
        <v>70</v>
      </c>
      <c r="F16" t="s">
        <v>109</v>
      </c>
      <c r="G16" t="s">
        <v>28</v>
      </c>
      <c r="H16">
        <v>717534.95</v>
      </c>
      <c r="I16" t="s">
        <v>110</v>
      </c>
      <c r="J16" t="s">
        <v>111</v>
      </c>
      <c r="K16" t="s">
        <v>112</v>
      </c>
      <c r="L16">
        <v>8.3000000000000007</v>
      </c>
      <c r="M16">
        <v>35</v>
      </c>
      <c r="N16" t="s">
        <v>78</v>
      </c>
      <c r="O16">
        <v>47.5</v>
      </c>
    </row>
    <row r="17" spans="1:15" x14ac:dyDescent="0.3">
      <c r="A17" t="s">
        <v>113</v>
      </c>
      <c r="B17">
        <v>55</v>
      </c>
      <c r="C17" t="s">
        <v>114</v>
      </c>
      <c r="D17" t="s">
        <v>115</v>
      </c>
      <c r="E17" t="s">
        <v>48</v>
      </c>
      <c r="F17" t="s">
        <v>116</v>
      </c>
      <c r="H17">
        <v>396708.27</v>
      </c>
      <c r="I17" t="s">
        <v>117</v>
      </c>
      <c r="J17" t="s">
        <v>118</v>
      </c>
      <c r="K17" t="s">
        <v>119</v>
      </c>
      <c r="L17">
        <v>4.5</v>
      </c>
      <c r="M17">
        <v>1</v>
      </c>
      <c r="N17" t="s">
        <v>85</v>
      </c>
      <c r="O17">
        <v>47.7</v>
      </c>
    </row>
    <row r="18" spans="1:15" x14ac:dyDescent="0.3">
      <c r="A18" t="s">
        <v>120</v>
      </c>
      <c r="B18">
        <v>56</v>
      </c>
      <c r="C18" t="s">
        <v>33</v>
      </c>
      <c r="D18" t="s">
        <v>121</v>
      </c>
      <c r="E18" t="s">
        <v>35</v>
      </c>
      <c r="F18" t="s">
        <v>94</v>
      </c>
      <c r="G18" t="s">
        <v>28</v>
      </c>
      <c r="H18">
        <v>514341.86</v>
      </c>
      <c r="I18" t="s">
        <v>122</v>
      </c>
      <c r="K18" t="s">
        <v>123</v>
      </c>
      <c r="L18">
        <v>6.8</v>
      </c>
      <c r="M18">
        <v>3</v>
      </c>
      <c r="N18" t="s">
        <v>24</v>
      </c>
      <c r="O18">
        <v>32.700000000000003</v>
      </c>
    </row>
    <row r="19" spans="1:15" x14ac:dyDescent="0.3">
      <c r="A19" t="s">
        <v>124</v>
      </c>
      <c r="B19">
        <v>38</v>
      </c>
      <c r="C19" t="s">
        <v>60</v>
      </c>
      <c r="D19" t="s">
        <v>17</v>
      </c>
      <c r="E19" t="s">
        <v>88</v>
      </c>
      <c r="F19" t="s">
        <v>116</v>
      </c>
      <c r="G19" t="s">
        <v>62</v>
      </c>
      <c r="H19">
        <v>619297.47</v>
      </c>
      <c r="I19" t="s">
        <v>125</v>
      </c>
      <c r="J19" t="s">
        <v>126</v>
      </c>
      <c r="K19" t="s">
        <v>127</v>
      </c>
      <c r="L19">
        <v>7.3</v>
      </c>
      <c r="M19">
        <v>7</v>
      </c>
      <c r="N19" t="s">
        <v>78</v>
      </c>
      <c r="O19">
        <v>10.8</v>
      </c>
    </row>
    <row r="20" spans="1:15" x14ac:dyDescent="0.3">
      <c r="A20" t="s">
        <v>128</v>
      </c>
      <c r="B20">
        <v>47</v>
      </c>
      <c r="C20" t="s">
        <v>26</v>
      </c>
      <c r="D20" t="s">
        <v>129</v>
      </c>
      <c r="E20" t="s">
        <v>61</v>
      </c>
      <c r="F20" t="s">
        <v>49</v>
      </c>
      <c r="G20" t="s">
        <v>62</v>
      </c>
      <c r="H20">
        <v>506310.46</v>
      </c>
      <c r="I20" t="s">
        <v>130</v>
      </c>
      <c r="J20" t="s">
        <v>131</v>
      </c>
      <c r="K20" t="s">
        <v>132</v>
      </c>
      <c r="L20">
        <v>1.9</v>
      </c>
      <c r="M20">
        <v>29</v>
      </c>
      <c r="N20" t="s">
        <v>133</v>
      </c>
      <c r="O20">
        <v>52.2</v>
      </c>
    </row>
    <row r="21" spans="1:15" x14ac:dyDescent="0.3">
      <c r="A21" t="s">
        <v>134</v>
      </c>
      <c r="B21">
        <v>52</v>
      </c>
      <c r="C21" t="s">
        <v>26</v>
      </c>
      <c r="D21" t="s">
        <v>17</v>
      </c>
      <c r="E21" t="s">
        <v>18</v>
      </c>
      <c r="F21" t="s">
        <v>27</v>
      </c>
      <c r="G21" t="s">
        <v>135</v>
      </c>
      <c r="H21">
        <v>506581.73</v>
      </c>
      <c r="I21" t="s">
        <v>136</v>
      </c>
      <c r="J21" t="s">
        <v>137</v>
      </c>
      <c r="K21" t="s">
        <v>138</v>
      </c>
      <c r="L21">
        <v>3.5</v>
      </c>
      <c r="N21" t="s">
        <v>78</v>
      </c>
      <c r="O21">
        <v>72</v>
      </c>
    </row>
    <row r="22" spans="1:15" x14ac:dyDescent="0.3">
      <c r="A22" t="s">
        <v>139</v>
      </c>
      <c r="B22">
        <v>52</v>
      </c>
      <c r="C22" t="s">
        <v>26</v>
      </c>
      <c r="D22" t="s">
        <v>115</v>
      </c>
      <c r="E22" t="s">
        <v>93</v>
      </c>
      <c r="F22" t="s">
        <v>27</v>
      </c>
      <c r="G22" t="s">
        <v>20</v>
      </c>
      <c r="H22">
        <v>650911.67000000004</v>
      </c>
      <c r="I22" t="s">
        <v>140</v>
      </c>
      <c r="J22" t="s">
        <v>141</v>
      </c>
      <c r="K22" t="s">
        <v>142</v>
      </c>
      <c r="L22">
        <v>2.1</v>
      </c>
      <c r="M22">
        <v>34</v>
      </c>
      <c r="N22" t="s">
        <v>53</v>
      </c>
      <c r="O22">
        <v>21.6</v>
      </c>
    </row>
    <row r="23" spans="1:15" x14ac:dyDescent="0.3">
      <c r="A23" t="s">
        <v>143</v>
      </c>
      <c r="B23">
        <v>60</v>
      </c>
      <c r="C23" t="s">
        <v>68</v>
      </c>
      <c r="D23" t="s">
        <v>121</v>
      </c>
      <c r="E23" t="s">
        <v>48</v>
      </c>
      <c r="F23" t="s">
        <v>109</v>
      </c>
      <c r="G23" t="s">
        <v>135</v>
      </c>
      <c r="I23" t="s">
        <v>144</v>
      </c>
      <c r="J23" t="s">
        <v>145</v>
      </c>
      <c r="K23" t="s">
        <v>146</v>
      </c>
      <c r="L23">
        <v>2.7</v>
      </c>
      <c r="M23">
        <v>30</v>
      </c>
      <c r="N23" t="s">
        <v>39</v>
      </c>
      <c r="O23">
        <v>7.4</v>
      </c>
    </row>
    <row r="24" spans="1:15" x14ac:dyDescent="0.3">
      <c r="A24" t="s">
        <v>147</v>
      </c>
      <c r="B24">
        <v>41</v>
      </c>
      <c r="D24" t="s">
        <v>129</v>
      </c>
      <c r="E24" t="s">
        <v>18</v>
      </c>
      <c r="F24" t="s">
        <v>116</v>
      </c>
      <c r="G24" t="s">
        <v>44</v>
      </c>
      <c r="H24">
        <v>481812.58</v>
      </c>
      <c r="I24" t="s">
        <v>148</v>
      </c>
      <c r="J24" t="s">
        <v>149</v>
      </c>
      <c r="K24" t="s">
        <v>150</v>
      </c>
      <c r="L24">
        <v>6.9</v>
      </c>
      <c r="M24">
        <v>4</v>
      </c>
      <c r="N24" t="s">
        <v>133</v>
      </c>
      <c r="O24">
        <v>59.4</v>
      </c>
    </row>
    <row r="25" spans="1:15" x14ac:dyDescent="0.3">
      <c r="A25" t="s">
        <v>151</v>
      </c>
      <c r="B25">
        <v>40</v>
      </c>
      <c r="C25" t="s">
        <v>68</v>
      </c>
      <c r="D25" t="s">
        <v>121</v>
      </c>
      <c r="E25" t="s">
        <v>48</v>
      </c>
      <c r="F25" t="s">
        <v>36</v>
      </c>
      <c r="G25" t="s">
        <v>44</v>
      </c>
      <c r="H25">
        <v>574917.14</v>
      </c>
      <c r="I25" t="s">
        <v>152</v>
      </c>
      <c r="J25" t="s">
        <v>153</v>
      </c>
      <c r="K25" t="s">
        <v>154</v>
      </c>
      <c r="L25">
        <v>5</v>
      </c>
      <c r="M25">
        <v>25</v>
      </c>
      <c r="O25">
        <v>43.8</v>
      </c>
    </row>
    <row r="26" spans="1:15" x14ac:dyDescent="0.3">
      <c r="A26" t="s">
        <v>155</v>
      </c>
      <c r="C26" t="s">
        <v>41</v>
      </c>
      <c r="D26" t="s">
        <v>17</v>
      </c>
      <c r="E26" t="s">
        <v>48</v>
      </c>
      <c r="F26" t="s">
        <v>109</v>
      </c>
      <c r="G26" t="s">
        <v>28</v>
      </c>
      <c r="H26">
        <v>244825.58</v>
      </c>
      <c r="I26" t="s">
        <v>156</v>
      </c>
      <c r="J26" t="s">
        <v>22</v>
      </c>
      <c r="K26" t="s">
        <v>157</v>
      </c>
      <c r="L26">
        <v>5.2</v>
      </c>
      <c r="M26">
        <v>6</v>
      </c>
      <c r="N26" t="s">
        <v>24</v>
      </c>
      <c r="O26">
        <v>49.5</v>
      </c>
    </row>
    <row r="27" spans="1:15" x14ac:dyDescent="0.3">
      <c r="A27" t="s">
        <v>158</v>
      </c>
      <c r="B27">
        <v>24</v>
      </c>
      <c r="C27" t="s">
        <v>159</v>
      </c>
      <c r="D27" t="s">
        <v>76</v>
      </c>
      <c r="E27" t="s">
        <v>61</v>
      </c>
      <c r="F27" t="s">
        <v>100</v>
      </c>
      <c r="G27" t="s">
        <v>101</v>
      </c>
      <c r="H27">
        <v>312757.13</v>
      </c>
      <c r="I27" t="s">
        <v>160</v>
      </c>
      <c r="J27" t="s">
        <v>161</v>
      </c>
      <c r="K27" t="s">
        <v>162</v>
      </c>
      <c r="L27">
        <v>9.3000000000000007</v>
      </c>
      <c r="N27" t="s">
        <v>53</v>
      </c>
      <c r="O27">
        <v>23.9</v>
      </c>
    </row>
    <row r="28" spans="1:15" x14ac:dyDescent="0.3">
      <c r="A28" t="s">
        <v>163</v>
      </c>
      <c r="B28">
        <v>48</v>
      </c>
      <c r="C28" t="s">
        <v>33</v>
      </c>
      <c r="D28" t="s">
        <v>17</v>
      </c>
      <c r="E28" t="s">
        <v>35</v>
      </c>
      <c r="F28" t="s">
        <v>100</v>
      </c>
      <c r="G28" t="s">
        <v>101</v>
      </c>
      <c r="H28" t="s">
        <v>164</v>
      </c>
      <c r="I28" t="s">
        <v>165</v>
      </c>
      <c r="K28" t="s">
        <v>166</v>
      </c>
      <c r="L28">
        <v>8.8000000000000007</v>
      </c>
      <c r="M28">
        <v>26</v>
      </c>
      <c r="N28" t="s">
        <v>85</v>
      </c>
      <c r="O28">
        <v>82.1</v>
      </c>
    </row>
    <row r="29" spans="1:15" x14ac:dyDescent="0.3">
      <c r="A29" t="s">
        <v>105</v>
      </c>
      <c r="B29">
        <v>53</v>
      </c>
      <c r="C29" t="s">
        <v>26</v>
      </c>
      <c r="D29" t="s">
        <v>76</v>
      </c>
      <c r="E29" t="s">
        <v>88</v>
      </c>
      <c r="F29" t="s">
        <v>49</v>
      </c>
      <c r="G29" t="s">
        <v>101</v>
      </c>
      <c r="H29">
        <v>428725.8</v>
      </c>
      <c r="I29" t="s">
        <v>106</v>
      </c>
      <c r="K29" t="s">
        <v>167</v>
      </c>
      <c r="L29">
        <v>100</v>
      </c>
      <c r="M29">
        <v>28</v>
      </c>
      <c r="N29" t="s">
        <v>133</v>
      </c>
    </row>
    <row r="30" spans="1:15" x14ac:dyDescent="0.3">
      <c r="A30" t="s">
        <v>168</v>
      </c>
      <c r="B30">
        <v>26</v>
      </c>
      <c r="C30" t="s">
        <v>68</v>
      </c>
      <c r="D30" t="s">
        <v>69</v>
      </c>
      <c r="E30" t="s">
        <v>35</v>
      </c>
      <c r="F30" t="s">
        <v>116</v>
      </c>
      <c r="G30" t="s">
        <v>28</v>
      </c>
      <c r="H30">
        <v>323764.09000000003</v>
      </c>
      <c r="I30" t="s">
        <v>169</v>
      </c>
      <c r="J30" t="s">
        <v>170</v>
      </c>
      <c r="K30" t="s">
        <v>171</v>
      </c>
      <c r="L30">
        <v>4.9000000000000004</v>
      </c>
      <c r="M30">
        <v>6</v>
      </c>
      <c r="N30" t="s">
        <v>53</v>
      </c>
      <c r="O30">
        <v>2.9</v>
      </c>
    </row>
    <row r="31" spans="1:15" x14ac:dyDescent="0.3">
      <c r="A31" t="s">
        <v>172</v>
      </c>
      <c r="B31">
        <v>49</v>
      </c>
      <c r="C31" t="s">
        <v>159</v>
      </c>
      <c r="D31" t="s">
        <v>80</v>
      </c>
      <c r="E31" t="s">
        <v>48</v>
      </c>
      <c r="F31" t="s">
        <v>109</v>
      </c>
      <c r="G31" t="s">
        <v>44</v>
      </c>
      <c r="H31">
        <v>487468.2</v>
      </c>
      <c r="I31" t="s">
        <v>173</v>
      </c>
      <c r="K31" t="s">
        <v>174</v>
      </c>
      <c r="L31">
        <v>7.1</v>
      </c>
      <c r="M31">
        <v>22</v>
      </c>
      <c r="N31" t="s">
        <v>24</v>
      </c>
      <c r="O31">
        <v>42.4</v>
      </c>
    </row>
    <row r="32" spans="1:15" x14ac:dyDescent="0.3">
      <c r="A32" t="s">
        <v>175</v>
      </c>
      <c r="B32">
        <v>46</v>
      </c>
      <c r="C32" t="s">
        <v>41</v>
      </c>
      <c r="D32" t="s">
        <v>69</v>
      </c>
      <c r="E32" t="s">
        <v>61</v>
      </c>
      <c r="F32" t="s">
        <v>116</v>
      </c>
      <c r="G32" t="s">
        <v>28</v>
      </c>
      <c r="H32">
        <v>354582.29</v>
      </c>
      <c r="I32" t="s">
        <v>176</v>
      </c>
      <c r="J32" t="s">
        <v>177</v>
      </c>
      <c r="K32" t="s">
        <v>178</v>
      </c>
      <c r="L32">
        <v>3.3</v>
      </c>
      <c r="M32">
        <v>8</v>
      </c>
      <c r="N32" t="s">
        <v>53</v>
      </c>
      <c r="O32">
        <v>30.9</v>
      </c>
    </row>
    <row r="33" spans="1:15" x14ac:dyDescent="0.3">
      <c r="A33" t="s">
        <v>179</v>
      </c>
      <c r="B33">
        <v>30</v>
      </c>
      <c r="C33" t="s">
        <v>26</v>
      </c>
      <c r="D33" t="s">
        <v>129</v>
      </c>
      <c r="E33" t="s">
        <v>35</v>
      </c>
      <c r="F33" t="s">
        <v>116</v>
      </c>
      <c r="H33">
        <v>618186.22</v>
      </c>
      <c r="I33" t="s">
        <v>180</v>
      </c>
      <c r="J33" t="s">
        <v>181</v>
      </c>
      <c r="K33" t="s">
        <v>182</v>
      </c>
      <c r="L33">
        <v>9.6999999999999993</v>
      </c>
      <c r="O33">
        <v>36.9</v>
      </c>
    </row>
    <row r="34" spans="1:15" x14ac:dyDescent="0.3">
      <c r="A34" t="s">
        <v>183</v>
      </c>
      <c r="B34">
        <v>45</v>
      </c>
      <c r="C34" t="s">
        <v>16</v>
      </c>
      <c r="D34" t="s">
        <v>121</v>
      </c>
      <c r="E34" t="s">
        <v>42</v>
      </c>
      <c r="F34" t="s">
        <v>43</v>
      </c>
      <c r="G34" t="s">
        <v>20</v>
      </c>
      <c r="H34">
        <v>98017.75</v>
      </c>
      <c r="I34" t="s">
        <v>184</v>
      </c>
      <c r="K34" t="s">
        <v>185</v>
      </c>
      <c r="L34">
        <v>9</v>
      </c>
      <c r="M34">
        <v>34</v>
      </c>
      <c r="N34" t="s">
        <v>53</v>
      </c>
      <c r="O34">
        <v>88.5</v>
      </c>
    </row>
    <row r="35" spans="1:15" x14ac:dyDescent="0.3">
      <c r="A35" t="s">
        <v>186</v>
      </c>
      <c r="B35">
        <v>48</v>
      </c>
      <c r="C35" t="s">
        <v>159</v>
      </c>
      <c r="D35" t="s">
        <v>129</v>
      </c>
      <c r="E35" t="s">
        <v>18</v>
      </c>
      <c r="F35" t="s">
        <v>36</v>
      </c>
      <c r="G35" t="s">
        <v>62</v>
      </c>
      <c r="H35">
        <v>577002.07999999996</v>
      </c>
      <c r="I35" t="s">
        <v>64</v>
      </c>
      <c r="J35" t="s">
        <v>22</v>
      </c>
      <c r="K35" t="s">
        <v>187</v>
      </c>
      <c r="L35">
        <v>1.5</v>
      </c>
      <c r="M35">
        <v>13</v>
      </c>
      <c r="N35" t="s">
        <v>85</v>
      </c>
      <c r="O35">
        <v>58.6</v>
      </c>
    </row>
    <row r="36" spans="1:15" x14ac:dyDescent="0.3">
      <c r="A36" t="s">
        <v>188</v>
      </c>
      <c r="B36">
        <v>150</v>
      </c>
      <c r="C36" t="s">
        <v>68</v>
      </c>
      <c r="D36" t="s">
        <v>129</v>
      </c>
      <c r="E36" t="s">
        <v>61</v>
      </c>
      <c r="F36" t="s">
        <v>100</v>
      </c>
      <c r="G36" t="s">
        <v>28</v>
      </c>
      <c r="H36">
        <v>468955.13</v>
      </c>
      <c r="I36" t="s">
        <v>189</v>
      </c>
      <c r="J36" t="s">
        <v>22</v>
      </c>
      <c r="K36" t="s">
        <v>190</v>
      </c>
      <c r="L36">
        <v>2</v>
      </c>
      <c r="M36">
        <v>2</v>
      </c>
      <c r="N36" t="s">
        <v>85</v>
      </c>
      <c r="O36">
        <v>30.2</v>
      </c>
    </row>
    <row r="37" spans="1:15" x14ac:dyDescent="0.3">
      <c r="A37" t="s">
        <v>191</v>
      </c>
      <c r="B37">
        <v>47</v>
      </c>
      <c r="C37" t="s">
        <v>41</v>
      </c>
      <c r="D37" t="s">
        <v>76</v>
      </c>
      <c r="E37" t="s">
        <v>93</v>
      </c>
      <c r="F37" t="s">
        <v>43</v>
      </c>
      <c r="G37" t="s">
        <v>62</v>
      </c>
      <c r="H37">
        <v>592928.94999999995</v>
      </c>
      <c r="I37" t="s">
        <v>192</v>
      </c>
      <c r="J37" t="s">
        <v>193</v>
      </c>
      <c r="K37" t="s">
        <v>194</v>
      </c>
      <c r="L37">
        <v>7.5</v>
      </c>
      <c r="M37">
        <v>14</v>
      </c>
      <c r="N37" t="s">
        <v>85</v>
      </c>
      <c r="O37">
        <v>41.6</v>
      </c>
    </row>
    <row r="38" spans="1:15" x14ac:dyDescent="0.3">
      <c r="A38" t="s">
        <v>195</v>
      </c>
      <c r="B38">
        <v>38</v>
      </c>
      <c r="C38" t="s">
        <v>114</v>
      </c>
      <c r="D38" t="s">
        <v>121</v>
      </c>
      <c r="E38" t="s">
        <v>93</v>
      </c>
      <c r="F38" t="s">
        <v>89</v>
      </c>
      <c r="G38" t="s">
        <v>28</v>
      </c>
      <c r="H38">
        <v>744549.23</v>
      </c>
      <c r="I38" t="s">
        <v>196</v>
      </c>
      <c r="J38" t="s">
        <v>197</v>
      </c>
      <c r="K38" t="s">
        <v>198</v>
      </c>
      <c r="L38">
        <v>6.2</v>
      </c>
      <c r="M38">
        <v>14</v>
      </c>
      <c r="N38" t="s">
        <v>24</v>
      </c>
      <c r="O38">
        <v>36.799999999999997</v>
      </c>
    </row>
    <row r="39" spans="1:15" x14ac:dyDescent="0.3">
      <c r="A39" t="s">
        <v>199</v>
      </c>
      <c r="B39">
        <v>57</v>
      </c>
      <c r="C39" t="s">
        <v>16</v>
      </c>
      <c r="D39" t="s">
        <v>129</v>
      </c>
      <c r="E39" t="s">
        <v>18</v>
      </c>
      <c r="F39" t="s">
        <v>49</v>
      </c>
      <c r="G39" t="s">
        <v>62</v>
      </c>
      <c r="I39" t="s">
        <v>200</v>
      </c>
      <c r="J39" t="s">
        <v>201</v>
      </c>
      <c r="K39" t="s">
        <v>202</v>
      </c>
      <c r="L39">
        <v>4.0999999999999996</v>
      </c>
      <c r="M39">
        <v>5</v>
      </c>
      <c r="N39" t="s">
        <v>78</v>
      </c>
      <c r="O39">
        <v>61.8</v>
      </c>
    </row>
    <row r="40" spans="1:15" x14ac:dyDescent="0.3">
      <c r="A40" t="s">
        <v>203</v>
      </c>
      <c r="B40">
        <v>49</v>
      </c>
      <c r="C40" t="s">
        <v>16</v>
      </c>
      <c r="D40" t="s">
        <v>121</v>
      </c>
      <c r="E40" t="s">
        <v>61</v>
      </c>
      <c r="F40" t="s">
        <v>19</v>
      </c>
      <c r="G40" t="s">
        <v>44</v>
      </c>
      <c r="I40" t="s">
        <v>204</v>
      </c>
      <c r="J40" t="s">
        <v>205</v>
      </c>
      <c r="K40" t="s">
        <v>206</v>
      </c>
      <c r="L40">
        <v>3.6</v>
      </c>
      <c r="M40">
        <v>27</v>
      </c>
      <c r="N40" t="s">
        <v>133</v>
      </c>
      <c r="O40">
        <v>23</v>
      </c>
    </row>
    <row r="41" spans="1:15" x14ac:dyDescent="0.3">
      <c r="A41" t="s">
        <v>207</v>
      </c>
      <c r="B41">
        <v>24</v>
      </c>
      <c r="C41" t="s">
        <v>26</v>
      </c>
      <c r="D41" t="s">
        <v>129</v>
      </c>
      <c r="E41" t="s">
        <v>48</v>
      </c>
      <c r="F41" t="s">
        <v>49</v>
      </c>
      <c r="G41" t="s">
        <v>28</v>
      </c>
      <c r="H41">
        <v>136061.07999999999</v>
      </c>
      <c r="I41" t="s">
        <v>208</v>
      </c>
      <c r="J41" t="s">
        <v>209</v>
      </c>
      <c r="K41" t="s">
        <v>210</v>
      </c>
      <c r="L41">
        <v>4.5999999999999996</v>
      </c>
      <c r="M41">
        <v>21</v>
      </c>
      <c r="N41" t="s">
        <v>85</v>
      </c>
      <c r="O41">
        <v>51</v>
      </c>
    </row>
    <row r="42" spans="1:15" x14ac:dyDescent="0.3">
      <c r="A42" t="s">
        <v>211</v>
      </c>
      <c r="B42">
        <v>44</v>
      </c>
      <c r="D42" t="s">
        <v>76</v>
      </c>
      <c r="E42" t="s">
        <v>35</v>
      </c>
      <c r="F42" t="s">
        <v>36</v>
      </c>
      <c r="G42" t="s">
        <v>135</v>
      </c>
      <c r="H42" t="s">
        <v>212</v>
      </c>
      <c r="I42" t="s">
        <v>213</v>
      </c>
      <c r="J42" t="s">
        <v>214</v>
      </c>
      <c r="K42" t="s">
        <v>215</v>
      </c>
      <c r="L42">
        <v>8.8000000000000007</v>
      </c>
      <c r="M42">
        <v>4</v>
      </c>
      <c r="N42" t="s">
        <v>53</v>
      </c>
      <c r="O42">
        <v>27.5</v>
      </c>
    </row>
    <row r="43" spans="1:15" x14ac:dyDescent="0.3">
      <c r="A43" t="s">
        <v>216</v>
      </c>
      <c r="B43">
        <v>51</v>
      </c>
      <c r="C43" t="s">
        <v>60</v>
      </c>
      <c r="D43" t="s">
        <v>115</v>
      </c>
      <c r="E43" t="s">
        <v>61</v>
      </c>
      <c r="F43" t="s">
        <v>94</v>
      </c>
      <c r="G43" t="s">
        <v>62</v>
      </c>
      <c r="H43">
        <v>678821.57</v>
      </c>
      <c r="I43" t="s">
        <v>217</v>
      </c>
      <c r="J43" t="s">
        <v>218</v>
      </c>
      <c r="K43" t="s">
        <v>219</v>
      </c>
      <c r="L43">
        <v>1.9</v>
      </c>
      <c r="M43">
        <v>5</v>
      </c>
      <c r="N43" t="s">
        <v>78</v>
      </c>
    </row>
    <row r="44" spans="1:15" x14ac:dyDescent="0.3">
      <c r="A44" t="s">
        <v>220</v>
      </c>
      <c r="B44">
        <v>55</v>
      </c>
      <c r="D44" t="s">
        <v>17</v>
      </c>
      <c r="E44" t="s">
        <v>18</v>
      </c>
      <c r="F44" t="s">
        <v>19</v>
      </c>
      <c r="G44" t="s">
        <v>135</v>
      </c>
      <c r="H44">
        <v>740914.49</v>
      </c>
      <c r="I44" t="s">
        <v>221</v>
      </c>
      <c r="J44" t="s">
        <v>222</v>
      </c>
      <c r="K44" t="s">
        <v>223</v>
      </c>
      <c r="L44">
        <v>3.8</v>
      </c>
      <c r="M44">
        <v>8</v>
      </c>
      <c r="N44" t="s">
        <v>39</v>
      </c>
      <c r="O44">
        <v>37.700000000000003</v>
      </c>
    </row>
    <row r="45" spans="1:15" x14ac:dyDescent="0.3">
      <c r="A45" t="s">
        <v>224</v>
      </c>
      <c r="B45">
        <v>55</v>
      </c>
      <c r="C45" t="s">
        <v>68</v>
      </c>
      <c r="D45" t="s">
        <v>34</v>
      </c>
      <c r="E45" t="s">
        <v>48</v>
      </c>
      <c r="F45" t="s">
        <v>100</v>
      </c>
      <c r="G45" t="s">
        <v>62</v>
      </c>
      <c r="H45">
        <v>446111.71</v>
      </c>
      <c r="I45" t="s">
        <v>225</v>
      </c>
      <c r="J45" t="s">
        <v>226</v>
      </c>
      <c r="K45" t="s">
        <v>227</v>
      </c>
      <c r="L45">
        <v>7</v>
      </c>
      <c r="M45">
        <v>24</v>
      </c>
      <c r="N45" t="s">
        <v>78</v>
      </c>
      <c r="O45">
        <v>77.099999999999994</v>
      </c>
    </row>
    <row r="46" spans="1:15" x14ac:dyDescent="0.3">
      <c r="A46" t="s">
        <v>228</v>
      </c>
      <c r="B46">
        <v>48</v>
      </c>
      <c r="C46" t="s">
        <v>159</v>
      </c>
      <c r="D46" t="s">
        <v>76</v>
      </c>
      <c r="E46" t="s">
        <v>88</v>
      </c>
      <c r="F46" t="s">
        <v>100</v>
      </c>
      <c r="G46" t="s">
        <v>62</v>
      </c>
      <c r="H46">
        <v>778103.79</v>
      </c>
      <c r="I46" t="s">
        <v>229</v>
      </c>
      <c r="J46" t="s">
        <v>230</v>
      </c>
      <c r="K46" t="s">
        <v>231</v>
      </c>
      <c r="L46">
        <v>4.8</v>
      </c>
      <c r="M46">
        <v>8</v>
      </c>
      <c r="N46" t="s">
        <v>39</v>
      </c>
      <c r="O46">
        <v>87.4</v>
      </c>
    </row>
    <row r="47" spans="1:15" x14ac:dyDescent="0.3">
      <c r="A47" t="s">
        <v>232</v>
      </c>
      <c r="B47">
        <v>29</v>
      </c>
      <c r="C47" t="s">
        <v>68</v>
      </c>
      <c r="D47" t="s">
        <v>115</v>
      </c>
      <c r="E47" t="s">
        <v>18</v>
      </c>
      <c r="F47" t="s">
        <v>43</v>
      </c>
      <c r="G47" t="s">
        <v>135</v>
      </c>
      <c r="I47" t="s">
        <v>233</v>
      </c>
      <c r="J47" t="s">
        <v>234</v>
      </c>
      <c r="K47" t="s">
        <v>235</v>
      </c>
      <c r="L47">
        <v>8.1</v>
      </c>
      <c r="M47">
        <v>30</v>
      </c>
      <c r="N47" t="s">
        <v>78</v>
      </c>
      <c r="O47">
        <v>46.9</v>
      </c>
    </row>
    <row r="48" spans="1:15" x14ac:dyDescent="0.3">
      <c r="A48" t="s">
        <v>236</v>
      </c>
      <c r="B48">
        <v>38</v>
      </c>
      <c r="C48" t="s">
        <v>159</v>
      </c>
      <c r="D48" t="s">
        <v>55</v>
      </c>
      <c r="E48" t="s">
        <v>35</v>
      </c>
      <c r="F48" t="s">
        <v>36</v>
      </c>
      <c r="G48" t="s">
        <v>20</v>
      </c>
      <c r="H48">
        <v>756962.68</v>
      </c>
      <c r="I48" t="s">
        <v>237</v>
      </c>
      <c r="J48" t="s">
        <v>238</v>
      </c>
      <c r="K48" t="s">
        <v>239</v>
      </c>
      <c r="M48">
        <v>22</v>
      </c>
      <c r="N48" t="s">
        <v>133</v>
      </c>
      <c r="O48">
        <v>66.8</v>
      </c>
    </row>
    <row r="49" spans="1:15" x14ac:dyDescent="0.3">
      <c r="A49" t="s">
        <v>240</v>
      </c>
      <c r="B49">
        <v>56</v>
      </c>
      <c r="C49" t="s">
        <v>68</v>
      </c>
      <c r="D49" t="s">
        <v>55</v>
      </c>
      <c r="E49" t="s">
        <v>70</v>
      </c>
      <c r="F49" t="s">
        <v>94</v>
      </c>
      <c r="G49" t="s">
        <v>135</v>
      </c>
      <c r="H49">
        <v>478989.41</v>
      </c>
      <c r="I49" t="s">
        <v>241</v>
      </c>
      <c r="K49" t="s">
        <v>242</v>
      </c>
      <c r="L49">
        <v>5.9</v>
      </c>
      <c r="M49">
        <v>29</v>
      </c>
      <c r="N49" t="s">
        <v>133</v>
      </c>
      <c r="O49">
        <v>81.099999999999994</v>
      </c>
    </row>
    <row r="50" spans="1:15" x14ac:dyDescent="0.3">
      <c r="A50" t="s">
        <v>243</v>
      </c>
      <c r="B50">
        <v>24</v>
      </c>
      <c r="C50" t="s">
        <v>68</v>
      </c>
      <c r="D50" t="s">
        <v>115</v>
      </c>
      <c r="E50" t="s">
        <v>61</v>
      </c>
      <c r="F50" t="s">
        <v>109</v>
      </c>
      <c r="H50">
        <v>307228.99</v>
      </c>
      <c r="I50" t="s">
        <v>244</v>
      </c>
      <c r="J50" t="s">
        <v>245</v>
      </c>
      <c r="K50" t="s">
        <v>246</v>
      </c>
      <c r="L50">
        <v>4.0999999999999996</v>
      </c>
      <c r="M50">
        <v>23</v>
      </c>
      <c r="O50">
        <v>8.3000000000000007</v>
      </c>
    </row>
    <row r="51" spans="1:15" x14ac:dyDescent="0.3">
      <c r="A51" t="s">
        <v>247</v>
      </c>
      <c r="B51">
        <v>56</v>
      </c>
      <c r="C51" t="s">
        <v>16</v>
      </c>
      <c r="D51" t="s">
        <v>129</v>
      </c>
      <c r="E51" t="s">
        <v>18</v>
      </c>
      <c r="F51" t="s">
        <v>100</v>
      </c>
      <c r="G51" t="s">
        <v>101</v>
      </c>
      <c r="H51">
        <v>316102.33</v>
      </c>
      <c r="I51" t="s">
        <v>248</v>
      </c>
      <c r="J51" t="s">
        <v>249</v>
      </c>
      <c r="K51" t="s">
        <v>250</v>
      </c>
      <c r="L51">
        <v>9.6</v>
      </c>
      <c r="N51" t="s">
        <v>39</v>
      </c>
      <c r="O51">
        <v>64.5</v>
      </c>
    </row>
    <row r="52" spans="1:15" x14ac:dyDescent="0.3">
      <c r="A52" t="s">
        <v>251</v>
      </c>
      <c r="B52">
        <v>60</v>
      </c>
      <c r="C52" t="s">
        <v>114</v>
      </c>
      <c r="D52" t="s">
        <v>34</v>
      </c>
      <c r="E52" t="s">
        <v>61</v>
      </c>
      <c r="F52" t="s">
        <v>109</v>
      </c>
      <c r="G52" t="s">
        <v>20</v>
      </c>
      <c r="H52" t="s">
        <v>252</v>
      </c>
      <c r="I52" t="s">
        <v>253</v>
      </c>
      <c r="J52" t="s">
        <v>254</v>
      </c>
      <c r="K52" t="s">
        <v>255</v>
      </c>
      <c r="L52">
        <v>10</v>
      </c>
      <c r="M52">
        <v>31</v>
      </c>
      <c r="N52" t="s">
        <v>78</v>
      </c>
      <c r="O52">
        <v>45.2</v>
      </c>
    </row>
    <row r="53" spans="1:15" x14ac:dyDescent="0.3">
      <c r="A53" t="s">
        <v>256</v>
      </c>
      <c r="B53">
        <v>42</v>
      </c>
      <c r="C53" t="s">
        <v>60</v>
      </c>
      <c r="D53" t="s">
        <v>257</v>
      </c>
      <c r="E53" t="s">
        <v>70</v>
      </c>
      <c r="F53" t="s">
        <v>89</v>
      </c>
      <c r="G53" t="s">
        <v>62</v>
      </c>
      <c r="H53">
        <v>475997.95</v>
      </c>
      <c r="I53" t="s">
        <v>258</v>
      </c>
      <c r="J53" t="s">
        <v>259</v>
      </c>
      <c r="K53" t="s">
        <v>260</v>
      </c>
      <c r="L53">
        <v>8.1999999999999993</v>
      </c>
      <c r="M53">
        <v>5</v>
      </c>
      <c r="N53" t="s">
        <v>133</v>
      </c>
      <c r="O53">
        <v>71.900000000000006</v>
      </c>
    </row>
    <row r="54" spans="1:15" x14ac:dyDescent="0.3">
      <c r="A54" t="s">
        <v>261</v>
      </c>
      <c r="B54">
        <v>26</v>
      </c>
      <c r="C54" t="s">
        <v>68</v>
      </c>
      <c r="D54" t="s">
        <v>34</v>
      </c>
      <c r="E54" t="s">
        <v>18</v>
      </c>
      <c r="F54" t="s">
        <v>89</v>
      </c>
      <c r="G54" t="s">
        <v>20</v>
      </c>
      <c r="H54">
        <v>133398.81</v>
      </c>
      <c r="I54" t="s">
        <v>262</v>
      </c>
      <c r="K54" t="s">
        <v>263</v>
      </c>
      <c r="L54">
        <v>4.0999999999999996</v>
      </c>
      <c r="M54">
        <v>5</v>
      </c>
      <c r="N54" t="s">
        <v>53</v>
      </c>
      <c r="O54">
        <v>27.4</v>
      </c>
    </row>
    <row r="55" spans="1:15" x14ac:dyDescent="0.3">
      <c r="A55" t="s">
        <v>264</v>
      </c>
      <c r="B55">
        <v>54</v>
      </c>
      <c r="C55" t="s">
        <v>114</v>
      </c>
      <c r="D55" t="s">
        <v>55</v>
      </c>
      <c r="E55" t="s">
        <v>42</v>
      </c>
      <c r="F55" t="s">
        <v>100</v>
      </c>
      <c r="G55" t="s">
        <v>44</v>
      </c>
      <c r="H55">
        <v>498065.48</v>
      </c>
      <c r="I55" t="s">
        <v>265</v>
      </c>
      <c r="J55" t="s">
        <v>266</v>
      </c>
      <c r="K55" t="s">
        <v>267</v>
      </c>
      <c r="L55">
        <v>6.8</v>
      </c>
      <c r="M55">
        <v>25</v>
      </c>
      <c r="N55" t="s">
        <v>39</v>
      </c>
      <c r="O55">
        <v>15.8</v>
      </c>
    </row>
    <row r="56" spans="1:15" x14ac:dyDescent="0.3">
      <c r="A56" t="s">
        <v>268</v>
      </c>
      <c r="B56">
        <v>60</v>
      </c>
      <c r="C56" t="s">
        <v>75</v>
      </c>
      <c r="D56" t="s">
        <v>129</v>
      </c>
      <c r="E56" t="s">
        <v>35</v>
      </c>
      <c r="F56" t="s">
        <v>36</v>
      </c>
      <c r="H56">
        <v>309907.8</v>
      </c>
      <c r="I56" t="s">
        <v>269</v>
      </c>
      <c r="J56" t="s">
        <v>22</v>
      </c>
      <c r="K56" t="s">
        <v>270</v>
      </c>
      <c r="L56">
        <v>3.2</v>
      </c>
      <c r="M56">
        <v>20</v>
      </c>
      <c r="N56" t="s">
        <v>53</v>
      </c>
      <c r="O56">
        <v>76.3</v>
      </c>
    </row>
    <row r="57" spans="1:15" x14ac:dyDescent="0.3">
      <c r="A57" t="s">
        <v>271</v>
      </c>
      <c r="B57">
        <v>-5</v>
      </c>
      <c r="C57" t="s">
        <v>41</v>
      </c>
      <c r="D57" t="s">
        <v>115</v>
      </c>
      <c r="E57" t="s">
        <v>61</v>
      </c>
      <c r="F57" t="s">
        <v>49</v>
      </c>
      <c r="G57" t="s">
        <v>62</v>
      </c>
      <c r="H57">
        <v>776014.37</v>
      </c>
      <c r="I57" t="s">
        <v>272</v>
      </c>
      <c r="K57" t="s">
        <v>273</v>
      </c>
      <c r="L57">
        <v>6.1</v>
      </c>
      <c r="M57">
        <v>4</v>
      </c>
      <c r="N57" t="s">
        <v>133</v>
      </c>
      <c r="O57">
        <v>28</v>
      </c>
    </row>
    <row r="58" spans="1:15" x14ac:dyDescent="0.3">
      <c r="A58" t="s">
        <v>274</v>
      </c>
      <c r="B58">
        <v>47</v>
      </c>
      <c r="C58" t="s">
        <v>33</v>
      </c>
      <c r="D58" t="s">
        <v>17</v>
      </c>
      <c r="E58" t="s">
        <v>35</v>
      </c>
      <c r="F58" t="s">
        <v>19</v>
      </c>
      <c r="H58">
        <v>481638.92</v>
      </c>
      <c r="I58" t="s">
        <v>275</v>
      </c>
      <c r="J58" t="s">
        <v>276</v>
      </c>
      <c r="K58" t="s">
        <v>277</v>
      </c>
      <c r="L58">
        <v>9.9</v>
      </c>
      <c r="M58">
        <v>21</v>
      </c>
      <c r="O58">
        <v>70.900000000000006</v>
      </c>
    </row>
    <row r="59" spans="1:15" x14ac:dyDescent="0.3">
      <c r="A59" t="s">
        <v>278</v>
      </c>
      <c r="B59">
        <v>43</v>
      </c>
      <c r="D59" t="s">
        <v>99</v>
      </c>
      <c r="E59" t="s">
        <v>61</v>
      </c>
      <c r="F59" t="s">
        <v>94</v>
      </c>
      <c r="G59" t="s">
        <v>28</v>
      </c>
      <c r="H59">
        <v>500265.54</v>
      </c>
      <c r="K59" t="s">
        <v>279</v>
      </c>
      <c r="M59">
        <v>20</v>
      </c>
      <c r="N59" t="s">
        <v>133</v>
      </c>
      <c r="O59">
        <v>41</v>
      </c>
    </row>
    <row r="60" spans="1:15" x14ac:dyDescent="0.3">
      <c r="A60" t="s">
        <v>280</v>
      </c>
      <c r="B60">
        <v>25</v>
      </c>
      <c r="C60" t="s">
        <v>60</v>
      </c>
      <c r="D60" t="s">
        <v>80</v>
      </c>
      <c r="E60" t="s">
        <v>42</v>
      </c>
      <c r="F60" t="s">
        <v>27</v>
      </c>
      <c r="G60" t="s">
        <v>44</v>
      </c>
      <c r="H60">
        <v>483838.48</v>
      </c>
      <c r="I60" t="s">
        <v>281</v>
      </c>
      <c r="J60" t="s">
        <v>22</v>
      </c>
      <c r="K60" t="s">
        <v>282</v>
      </c>
      <c r="L60">
        <v>7.3</v>
      </c>
      <c r="M60">
        <v>30</v>
      </c>
      <c r="N60" t="s">
        <v>85</v>
      </c>
      <c r="O60">
        <v>28.8</v>
      </c>
    </row>
    <row r="61" spans="1:15" x14ac:dyDescent="0.3">
      <c r="A61" t="s">
        <v>283</v>
      </c>
      <c r="B61">
        <v>44</v>
      </c>
      <c r="C61" t="s">
        <v>75</v>
      </c>
      <c r="D61" t="s">
        <v>129</v>
      </c>
      <c r="E61" t="s">
        <v>42</v>
      </c>
      <c r="F61" t="s">
        <v>116</v>
      </c>
      <c r="G61" t="s">
        <v>62</v>
      </c>
      <c r="H61">
        <v>289125.90999999997</v>
      </c>
      <c r="I61" t="s">
        <v>284</v>
      </c>
      <c r="K61" t="s">
        <v>285</v>
      </c>
      <c r="L61">
        <v>7</v>
      </c>
      <c r="M61">
        <v>3</v>
      </c>
      <c r="N61" t="s">
        <v>24</v>
      </c>
      <c r="O61">
        <v>10.1</v>
      </c>
    </row>
    <row r="62" spans="1:15" x14ac:dyDescent="0.3">
      <c r="A62" t="s">
        <v>286</v>
      </c>
      <c r="B62">
        <v>32</v>
      </c>
      <c r="C62" t="s">
        <v>16</v>
      </c>
      <c r="D62" t="s">
        <v>17</v>
      </c>
      <c r="E62" t="s">
        <v>88</v>
      </c>
      <c r="F62" t="s">
        <v>94</v>
      </c>
      <c r="H62">
        <v>712447.73</v>
      </c>
      <c r="I62" t="s">
        <v>287</v>
      </c>
      <c r="J62" t="s">
        <v>288</v>
      </c>
      <c r="K62" t="s">
        <v>289</v>
      </c>
      <c r="L62">
        <v>8.1</v>
      </c>
      <c r="M62">
        <v>18</v>
      </c>
      <c r="N62" t="s">
        <v>39</v>
      </c>
      <c r="O62">
        <v>60.3</v>
      </c>
    </row>
    <row r="63" spans="1:15" x14ac:dyDescent="0.3">
      <c r="A63" t="s">
        <v>290</v>
      </c>
      <c r="B63">
        <v>56</v>
      </c>
      <c r="D63" t="s">
        <v>69</v>
      </c>
      <c r="E63" t="s">
        <v>61</v>
      </c>
      <c r="F63" t="s">
        <v>49</v>
      </c>
      <c r="H63">
        <v>176623.96</v>
      </c>
      <c r="I63" t="s">
        <v>291</v>
      </c>
      <c r="K63" t="s">
        <v>292</v>
      </c>
      <c r="L63">
        <v>5.6</v>
      </c>
      <c r="M63">
        <v>11</v>
      </c>
      <c r="N63" t="s">
        <v>133</v>
      </c>
      <c r="O63">
        <v>24.8</v>
      </c>
    </row>
    <row r="64" spans="1:15" x14ac:dyDescent="0.3">
      <c r="A64" t="s">
        <v>293</v>
      </c>
      <c r="B64">
        <v>43</v>
      </c>
      <c r="C64" t="s">
        <v>41</v>
      </c>
      <c r="D64" t="s">
        <v>115</v>
      </c>
      <c r="E64" t="s">
        <v>42</v>
      </c>
      <c r="F64" t="s">
        <v>19</v>
      </c>
      <c r="G64" t="s">
        <v>62</v>
      </c>
      <c r="H64">
        <v>88233.73</v>
      </c>
      <c r="I64" t="s">
        <v>294</v>
      </c>
      <c r="J64" t="s">
        <v>295</v>
      </c>
      <c r="K64" t="s">
        <v>296</v>
      </c>
      <c r="L64">
        <v>2.4</v>
      </c>
      <c r="M64">
        <v>26</v>
      </c>
      <c r="N64" t="s">
        <v>133</v>
      </c>
      <c r="O64">
        <v>80.2</v>
      </c>
    </row>
    <row r="65" spans="1:15" x14ac:dyDescent="0.3">
      <c r="A65" t="s">
        <v>297</v>
      </c>
      <c r="B65">
        <v>60</v>
      </c>
      <c r="C65" t="s">
        <v>68</v>
      </c>
      <c r="D65" t="s">
        <v>69</v>
      </c>
      <c r="E65" t="s">
        <v>48</v>
      </c>
      <c r="F65" t="s">
        <v>100</v>
      </c>
      <c r="G65" t="s">
        <v>62</v>
      </c>
      <c r="H65">
        <v>401658.54</v>
      </c>
      <c r="I65" t="s">
        <v>298</v>
      </c>
      <c r="J65" t="s">
        <v>299</v>
      </c>
      <c r="K65" t="s">
        <v>300</v>
      </c>
      <c r="L65">
        <v>8.3000000000000007</v>
      </c>
      <c r="M65">
        <v>29</v>
      </c>
      <c r="O65">
        <v>80.7</v>
      </c>
    </row>
    <row r="66" spans="1:15" x14ac:dyDescent="0.3">
      <c r="A66" t="s">
        <v>301</v>
      </c>
      <c r="C66" t="s">
        <v>159</v>
      </c>
      <c r="D66" t="s">
        <v>99</v>
      </c>
      <c r="E66" t="s">
        <v>18</v>
      </c>
      <c r="F66" t="s">
        <v>100</v>
      </c>
      <c r="G66" t="s">
        <v>101</v>
      </c>
      <c r="H66">
        <v>328060.78000000003</v>
      </c>
      <c r="J66" t="s">
        <v>302</v>
      </c>
      <c r="K66" t="s">
        <v>303</v>
      </c>
      <c r="L66">
        <v>6.9</v>
      </c>
      <c r="M66">
        <v>34</v>
      </c>
      <c r="N66" t="s">
        <v>78</v>
      </c>
      <c r="O66">
        <v>22.3</v>
      </c>
    </row>
    <row r="67" spans="1:15" x14ac:dyDescent="0.3">
      <c r="A67" t="s">
        <v>304</v>
      </c>
      <c r="B67">
        <v>56</v>
      </c>
      <c r="D67" t="s">
        <v>121</v>
      </c>
      <c r="E67" t="s">
        <v>61</v>
      </c>
      <c r="F67" t="s">
        <v>94</v>
      </c>
      <c r="G67" t="s">
        <v>20</v>
      </c>
      <c r="H67">
        <v>245358.13</v>
      </c>
      <c r="I67" t="s">
        <v>305</v>
      </c>
      <c r="J67" t="s">
        <v>306</v>
      </c>
      <c r="K67" t="s">
        <v>307</v>
      </c>
      <c r="L67">
        <v>7.7</v>
      </c>
      <c r="M67">
        <v>13</v>
      </c>
      <c r="N67" t="s">
        <v>85</v>
      </c>
    </row>
    <row r="68" spans="1:15" x14ac:dyDescent="0.3">
      <c r="A68" t="s">
        <v>308</v>
      </c>
      <c r="B68">
        <v>58</v>
      </c>
      <c r="C68" t="s">
        <v>159</v>
      </c>
      <c r="D68" t="s">
        <v>121</v>
      </c>
      <c r="E68" t="s">
        <v>48</v>
      </c>
      <c r="F68" t="s">
        <v>49</v>
      </c>
      <c r="G68" t="s">
        <v>62</v>
      </c>
      <c r="H68">
        <v>564222.97</v>
      </c>
      <c r="I68" t="s">
        <v>309</v>
      </c>
      <c r="J68" t="s">
        <v>310</v>
      </c>
      <c r="K68" t="s">
        <v>311</v>
      </c>
      <c r="L68">
        <v>3.9</v>
      </c>
      <c r="M68">
        <v>24</v>
      </c>
      <c r="O68">
        <v>84.9</v>
      </c>
    </row>
    <row r="69" spans="1:15" x14ac:dyDescent="0.3">
      <c r="A69" t="s">
        <v>312</v>
      </c>
      <c r="B69">
        <v>57</v>
      </c>
      <c r="D69" t="s">
        <v>313</v>
      </c>
      <c r="E69" t="s">
        <v>88</v>
      </c>
      <c r="F69" t="s">
        <v>36</v>
      </c>
      <c r="G69" t="s">
        <v>62</v>
      </c>
      <c r="H69">
        <v>461594.11</v>
      </c>
      <c r="J69" t="s">
        <v>314</v>
      </c>
      <c r="K69" t="s">
        <v>315</v>
      </c>
      <c r="L69">
        <v>3</v>
      </c>
      <c r="M69">
        <v>19</v>
      </c>
      <c r="N69" t="s">
        <v>39</v>
      </c>
      <c r="O69">
        <v>19</v>
      </c>
    </row>
    <row r="70" spans="1:15" x14ac:dyDescent="0.3">
      <c r="A70" t="s">
        <v>316</v>
      </c>
      <c r="B70">
        <v>37</v>
      </c>
      <c r="C70" t="s">
        <v>159</v>
      </c>
      <c r="D70" t="s">
        <v>115</v>
      </c>
      <c r="E70" t="s">
        <v>35</v>
      </c>
      <c r="F70" t="s">
        <v>49</v>
      </c>
      <c r="G70" t="s">
        <v>62</v>
      </c>
      <c r="H70">
        <v>365575.08</v>
      </c>
      <c r="I70" t="s">
        <v>317</v>
      </c>
      <c r="J70" t="s">
        <v>318</v>
      </c>
      <c r="K70" t="s">
        <v>319</v>
      </c>
      <c r="L70">
        <v>6.1</v>
      </c>
      <c r="M70">
        <v>16</v>
      </c>
      <c r="O70">
        <v>41.8</v>
      </c>
    </row>
    <row r="71" spans="1:15" x14ac:dyDescent="0.3">
      <c r="A71" t="s">
        <v>320</v>
      </c>
      <c r="B71">
        <v>58</v>
      </c>
      <c r="C71" t="s">
        <v>159</v>
      </c>
      <c r="D71" t="s">
        <v>17</v>
      </c>
      <c r="E71" t="s">
        <v>93</v>
      </c>
      <c r="F71" t="s">
        <v>94</v>
      </c>
      <c r="G71" t="s">
        <v>62</v>
      </c>
      <c r="H71">
        <v>551317.74</v>
      </c>
      <c r="I71" t="s">
        <v>321</v>
      </c>
      <c r="K71" t="s">
        <v>322</v>
      </c>
      <c r="L71">
        <v>1.3</v>
      </c>
      <c r="M71">
        <v>3</v>
      </c>
      <c r="N71" t="s">
        <v>133</v>
      </c>
      <c r="O71">
        <v>63.1</v>
      </c>
    </row>
    <row r="72" spans="1:15" x14ac:dyDescent="0.3">
      <c r="A72" t="s">
        <v>323</v>
      </c>
      <c r="B72">
        <v>51</v>
      </c>
      <c r="C72" t="s">
        <v>33</v>
      </c>
      <c r="D72" t="s">
        <v>99</v>
      </c>
      <c r="E72" t="s">
        <v>42</v>
      </c>
      <c r="F72" t="s">
        <v>43</v>
      </c>
      <c r="G72" t="s">
        <v>28</v>
      </c>
      <c r="H72">
        <v>560063.41</v>
      </c>
      <c r="J72" t="s">
        <v>324</v>
      </c>
      <c r="K72" t="s">
        <v>325</v>
      </c>
      <c r="L72">
        <v>5.7</v>
      </c>
      <c r="M72">
        <v>16</v>
      </c>
      <c r="N72" t="s">
        <v>24</v>
      </c>
      <c r="O72">
        <v>7.9</v>
      </c>
    </row>
    <row r="73" spans="1:15" x14ac:dyDescent="0.3">
      <c r="A73" t="s">
        <v>326</v>
      </c>
      <c r="B73">
        <v>36</v>
      </c>
      <c r="C73" t="s">
        <v>26</v>
      </c>
      <c r="D73" t="s">
        <v>55</v>
      </c>
      <c r="E73" t="s">
        <v>48</v>
      </c>
      <c r="F73" t="s">
        <v>100</v>
      </c>
      <c r="G73" t="s">
        <v>62</v>
      </c>
      <c r="I73" t="s">
        <v>327</v>
      </c>
      <c r="J73" t="s">
        <v>22</v>
      </c>
      <c r="K73" t="s">
        <v>328</v>
      </c>
      <c r="L73">
        <v>3.1</v>
      </c>
      <c r="M73">
        <v>30</v>
      </c>
      <c r="N73" t="s">
        <v>39</v>
      </c>
      <c r="O73">
        <v>28</v>
      </c>
    </row>
    <row r="74" spans="1:15" x14ac:dyDescent="0.3">
      <c r="A74" t="s">
        <v>329</v>
      </c>
      <c r="B74">
        <v>150</v>
      </c>
      <c r="C74" t="s">
        <v>68</v>
      </c>
      <c r="D74" t="s">
        <v>34</v>
      </c>
      <c r="E74" t="s">
        <v>93</v>
      </c>
      <c r="F74" t="s">
        <v>43</v>
      </c>
      <c r="H74">
        <v>621623.22</v>
      </c>
      <c r="I74" t="s">
        <v>330</v>
      </c>
      <c r="J74" t="s">
        <v>22</v>
      </c>
      <c r="K74" t="s">
        <v>331</v>
      </c>
      <c r="L74">
        <v>3.1</v>
      </c>
      <c r="M74">
        <v>25</v>
      </c>
      <c r="N74" t="s">
        <v>24</v>
      </c>
    </row>
    <row r="75" spans="1:15" x14ac:dyDescent="0.3">
      <c r="A75" t="s">
        <v>332</v>
      </c>
      <c r="B75">
        <v>57</v>
      </c>
      <c r="C75" t="s">
        <v>68</v>
      </c>
      <c r="D75" t="s">
        <v>333</v>
      </c>
      <c r="E75" t="s">
        <v>48</v>
      </c>
      <c r="F75" t="s">
        <v>89</v>
      </c>
      <c r="G75" t="s">
        <v>44</v>
      </c>
      <c r="H75">
        <v>569380.30000000005</v>
      </c>
      <c r="I75" t="s">
        <v>176</v>
      </c>
      <c r="J75" t="s">
        <v>334</v>
      </c>
      <c r="K75" t="s">
        <v>335</v>
      </c>
      <c r="L75">
        <v>1.9</v>
      </c>
      <c r="M75">
        <v>35</v>
      </c>
      <c r="N75" t="s">
        <v>133</v>
      </c>
      <c r="O75">
        <v>9</v>
      </c>
    </row>
    <row r="76" spans="1:15" x14ac:dyDescent="0.3">
      <c r="A76" t="s">
        <v>336</v>
      </c>
      <c r="B76">
        <v>-5</v>
      </c>
      <c r="C76" t="s">
        <v>75</v>
      </c>
      <c r="D76" t="s">
        <v>99</v>
      </c>
      <c r="E76" t="s">
        <v>42</v>
      </c>
      <c r="F76" t="s">
        <v>43</v>
      </c>
      <c r="G76" t="s">
        <v>135</v>
      </c>
      <c r="H76">
        <v>140983.65</v>
      </c>
      <c r="I76" t="s">
        <v>337</v>
      </c>
      <c r="K76" t="s">
        <v>338</v>
      </c>
      <c r="L76">
        <v>3.3</v>
      </c>
      <c r="M76">
        <v>12</v>
      </c>
      <c r="N76" t="s">
        <v>78</v>
      </c>
      <c r="O76">
        <v>94.9</v>
      </c>
    </row>
    <row r="77" spans="1:15" x14ac:dyDescent="0.3">
      <c r="A77" t="s">
        <v>339</v>
      </c>
      <c r="B77">
        <v>50</v>
      </c>
      <c r="C77" t="s">
        <v>159</v>
      </c>
      <c r="D77" t="s">
        <v>55</v>
      </c>
      <c r="E77" t="s">
        <v>93</v>
      </c>
      <c r="F77" t="s">
        <v>27</v>
      </c>
      <c r="H77" t="s">
        <v>340</v>
      </c>
      <c r="I77" t="s">
        <v>341</v>
      </c>
      <c r="J77" t="s">
        <v>342</v>
      </c>
      <c r="K77" t="s">
        <v>343</v>
      </c>
      <c r="L77">
        <v>4.3</v>
      </c>
      <c r="M77">
        <v>34</v>
      </c>
      <c r="N77" t="s">
        <v>85</v>
      </c>
      <c r="O77">
        <v>95.3</v>
      </c>
    </row>
    <row r="78" spans="1:15" x14ac:dyDescent="0.3">
      <c r="A78" t="s">
        <v>344</v>
      </c>
      <c r="B78">
        <v>26</v>
      </c>
      <c r="C78" t="s">
        <v>114</v>
      </c>
      <c r="D78" t="s">
        <v>345</v>
      </c>
      <c r="E78" t="s">
        <v>35</v>
      </c>
      <c r="F78" t="s">
        <v>100</v>
      </c>
      <c r="G78" t="s">
        <v>28</v>
      </c>
      <c r="H78">
        <v>374581.94</v>
      </c>
      <c r="I78" t="s">
        <v>346</v>
      </c>
      <c r="J78" t="s">
        <v>347</v>
      </c>
      <c r="L78">
        <v>6.7</v>
      </c>
      <c r="M78">
        <v>22</v>
      </c>
    </row>
    <row r="79" spans="1:15" x14ac:dyDescent="0.3">
      <c r="A79" t="s">
        <v>348</v>
      </c>
      <c r="B79">
        <v>49</v>
      </c>
      <c r="C79" t="s">
        <v>68</v>
      </c>
      <c r="D79" t="s">
        <v>80</v>
      </c>
      <c r="F79" t="s">
        <v>43</v>
      </c>
      <c r="G79" t="s">
        <v>101</v>
      </c>
      <c r="H79">
        <v>239840.78</v>
      </c>
      <c r="I79" t="s">
        <v>349</v>
      </c>
      <c r="J79" t="s">
        <v>350</v>
      </c>
      <c r="K79" t="s">
        <v>351</v>
      </c>
      <c r="L79">
        <v>4.0999999999999996</v>
      </c>
      <c r="M79">
        <v>33</v>
      </c>
      <c r="N79" t="s">
        <v>133</v>
      </c>
      <c r="O79">
        <v>72.2</v>
      </c>
    </row>
    <row r="80" spans="1:15" x14ac:dyDescent="0.3">
      <c r="A80" t="s">
        <v>352</v>
      </c>
      <c r="B80">
        <v>999</v>
      </c>
      <c r="C80" t="s">
        <v>75</v>
      </c>
      <c r="D80" t="s">
        <v>17</v>
      </c>
      <c r="E80" t="s">
        <v>35</v>
      </c>
      <c r="F80" t="s">
        <v>94</v>
      </c>
      <c r="G80" t="s">
        <v>28</v>
      </c>
      <c r="H80">
        <v>567540.31999999995</v>
      </c>
      <c r="I80" t="s">
        <v>353</v>
      </c>
      <c r="J80" t="s">
        <v>354</v>
      </c>
      <c r="K80" t="s">
        <v>355</v>
      </c>
      <c r="L80">
        <v>8.9</v>
      </c>
      <c r="M80">
        <v>0</v>
      </c>
      <c r="N80" t="s">
        <v>78</v>
      </c>
      <c r="O80">
        <v>70.400000000000006</v>
      </c>
    </row>
    <row r="81" spans="1:15" x14ac:dyDescent="0.3">
      <c r="A81" t="s">
        <v>356</v>
      </c>
      <c r="B81">
        <v>33</v>
      </c>
      <c r="C81" t="s">
        <v>75</v>
      </c>
      <c r="D81" t="s">
        <v>80</v>
      </c>
      <c r="E81" t="s">
        <v>93</v>
      </c>
      <c r="F81" t="s">
        <v>19</v>
      </c>
      <c r="G81" t="s">
        <v>135</v>
      </c>
      <c r="H81">
        <v>162047.57999999999</v>
      </c>
      <c r="I81" t="s">
        <v>357</v>
      </c>
      <c r="J81" t="s">
        <v>22</v>
      </c>
      <c r="K81" t="s">
        <v>358</v>
      </c>
      <c r="L81">
        <v>2.1</v>
      </c>
      <c r="M81">
        <v>9</v>
      </c>
      <c r="N81" t="s">
        <v>133</v>
      </c>
      <c r="O81">
        <v>57.5</v>
      </c>
    </row>
    <row r="82" spans="1:15" x14ac:dyDescent="0.3">
      <c r="A82" t="s">
        <v>359</v>
      </c>
      <c r="B82">
        <v>33</v>
      </c>
      <c r="C82" t="s">
        <v>159</v>
      </c>
      <c r="D82" t="s">
        <v>76</v>
      </c>
      <c r="E82" t="s">
        <v>35</v>
      </c>
      <c r="F82" t="s">
        <v>116</v>
      </c>
      <c r="G82" t="s">
        <v>44</v>
      </c>
      <c r="H82">
        <v>181013.51</v>
      </c>
      <c r="I82" t="s">
        <v>360</v>
      </c>
      <c r="J82" t="s">
        <v>361</v>
      </c>
      <c r="K82" t="s">
        <v>362</v>
      </c>
      <c r="L82">
        <v>1.3</v>
      </c>
      <c r="M82">
        <v>29</v>
      </c>
      <c r="N82" t="s">
        <v>85</v>
      </c>
      <c r="O82">
        <v>55</v>
      </c>
    </row>
    <row r="83" spans="1:15" x14ac:dyDescent="0.3">
      <c r="A83" t="s">
        <v>363</v>
      </c>
      <c r="B83">
        <v>45</v>
      </c>
      <c r="C83" t="s">
        <v>68</v>
      </c>
      <c r="D83" t="s">
        <v>76</v>
      </c>
      <c r="E83" t="s">
        <v>61</v>
      </c>
      <c r="F83" t="s">
        <v>116</v>
      </c>
      <c r="G83" t="s">
        <v>20</v>
      </c>
      <c r="H83">
        <v>627202.97</v>
      </c>
      <c r="I83" t="s">
        <v>364</v>
      </c>
      <c r="J83" t="s">
        <v>365</v>
      </c>
      <c r="K83" t="s">
        <v>366</v>
      </c>
      <c r="L83">
        <v>8.3000000000000007</v>
      </c>
      <c r="M83">
        <v>27</v>
      </c>
      <c r="N83" t="s">
        <v>78</v>
      </c>
      <c r="O83">
        <v>81.400000000000006</v>
      </c>
    </row>
    <row r="84" spans="1:15" x14ac:dyDescent="0.3">
      <c r="A84" t="s">
        <v>367</v>
      </c>
      <c r="B84">
        <v>39</v>
      </c>
      <c r="C84" t="s">
        <v>75</v>
      </c>
      <c r="D84" t="s">
        <v>69</v>
      </c>
      <c r="E84" t="s">
        <v>42</v>
      </c>
      <c r="F84" t="s">
        <v>116</v>
      </c>
      <c r="H84">
        <v>784880.11</v>
      </c>
      <c r="I84" t="s">
        <v>368</v>
      </c>
      <c r="J84" t="s">
        <v>369</v>
      </c>
      <c r="K84" t="s">
        <v>370</v>
      </c>
      <c r="L84">
        <v>5.4</v>
      </c>
      <c r="M84">
        <v>26</v>
      </c>
      <c r="N84" t="s">
        <v>39</v>
      </c>
      <c r="O84">
        <v>88</v>
      </c>
    </row>
    <row r="85" spans="1:15" x14ac:dyDescent="0.3">
      <c r="A85" t="s">
        <v>371</v>
      </c>
      <c r="B85">
        <v>45</v>
      </c>
      <c r="C85" t="s">
        <v>60</v>
      </c>
      <c r="D85" t="s">
        <v>76</v>
      </c>
      <c r="E85" t="s">
        <v>18</v>
      </c>
      <c r="F85" t="s">
        <v>89</v>
      </c>
      <c r="G85" t="s">
        <v>62</v>
      </c>
      <c r="H85">
        <v>499007.99</v>
      </c>
      <c r="I85" t="s">
        <v>372</v>
      </c>
      <c r="K85" t="s">
        <v>373</v>
      </c>
      <c r="L85">
        <v>6.2</v>
      </c>
      <c r="M85">
        <v>21</v>
      </c>
      <c r="N85" t="s">
        <v>85</v>
      </c>
    </row>
    <row r="86" spans="1:15" x14ac:dyDescent="0.3">
      <c r="A86" t="s">
        <v>374</v>
      </c>
      <c r="B86">
        <v>50</v>
      </c>
      <c r="C86" t="s">
        <v>75</v>
      </c>
      <c r="D86" t="s">
        <v>121</v>
      </c>
      <c r="E86" t="s">
        <v>70</v>
      </c>
      <c r="F86" t="s">
        <v>116</v>
      </c>
      <c r="H86">
        <v>388015.5</v>
      </c>
      <c r="I86" t="s">
        <v>375</v>
      </c>
      <c r="J86" t="s">
        <v>376</v>
      </c>
      <c r="K86" t="s">
        <v>377</v>
      </c>
      <c r="M86">
        <v>30</v>
      </c>
      <c r="O86">
        <v>68</v>
      </c>
    </row>
    <row r="87" spans="1:15" x14ac:dyDescent="0.3">
      <c r="A87" t="s">
        <v>378</v>
      </c>
      <c r="B87">
        <v>49</v>
      </c>
      <c r="C87" t="s">
        <v>68</v>
      </c>
      <c r="D87" t="s">
        <v>34</v>
      </c>
      <c r="E87" t="s">
        <v>48</v>
      </c>
      <c r="F87" t="s">
        <v>19</v>
      </c>
      <c r="G87" t="s">
        <v>62</v>
      </c>
      <c r="H87">
        <v>244841.74</v>
      </c>
      <c r="I87" t="s">
        <v>305</v>
      </c>
      <c r="J87" t="s">
        <v>379</v>
      </c>
      <c r="K87" t="s">
        <v>380</v>
      </c>
      <c r="L87">
        <v>4.2</v>
      </c>
      <c r="M87">
        <v>26</v>
      </c>
      <c r="N87" t="s">
        <v>133</v>
      </c>
      <c r="O87">
        <v>8.6999999999999993</v>
      </c>
    </row>
    <row r="88" spans="1:15" x14ac:dyDescent="0.3">
      <c r="A88" t="s">
        <v>381</v>
      </c>
      <c r="B88">
        <v>46</v>
      </c>
      <c r="C88" t="s">
        <v>60</v>
      </c>
      <c r="D88" t="s">
        <v>99</v>
      </c>
      <c r="E88" t="s">
        <v>42</v>
      </c>
      <c r="F88" t="s">
        <v>116</v>
      </c>
      <c r="G88" t="s">
        <v>62</v>
      </c>
      <c r="H88">
        <v>649575.19999999995</v>
      </c>
      <c r="I88" t="s">
        <v>382</v>
      </c>
      <c r="J88" t="s">
        <v>383</v>
      </c>
      <c r="K88" t="s">
        <v>384</v>
      </c>
      <c r="L88">
        <v>4.5</v>
      </c>
      <c r="M88">
        <v>4</v>
      </c>
      <c r="N88" t="s">
        <v>39</v>
      </c>
      <c r="O88">
        <v>93.4</v>
      </c>
    </row>
    <row r="89" spans="1:15" x14ac:dyDescent="0.3">
      <c r="A89" t="s">
        <v>385</v>
      </c>
      <c r="B89">
        <v>48</v>
      </c>
      <c r="C89" t="s">
        <v>33</v>
      </c>
      <c r="D89" t="s">
        <v>99</v>
      </c>
      <c r="E89" t="s">
        <v>18</v>
      </c>
      <c r="F89" t="s">
        <v>100</v>
      </c>
      <c r="G89" t="s">
        <v>62</v>
      </c>
      <c r="I89" t="s">
        <v>386</v>
      </c>
      <c r="J89" t="s">
        <v>387</v>
      </c>
      <c r="K89" t="s">
        <v>388</v>
      </c>
      <c r="L89">
        <v>6.5</v>
      </c>
      <c r="M89">
        <v>32</v>
      </c>
      <c r="N89" t="s">
        <v>85</v>
      </c>
      <c r="O89">
        <v>32.700000000000003</v>
      </c>
    </row>
    <row r="90" spans="1:15" x14ac:dyDescent="0.3">
      <c r="A90" t="s">
        <v>389</v>
      </c>
      <c r="B90">
        <v>37</v>
      </c>
      <c r="C90" t="s">
        <v>33</v>
      </c>
      <c r="D90" t="s">
        <v>34</v>
      </c>
      <c r="E90" t="s">
        <v>61</v>
      </c>
      <c r="F90" t="s">
        <v>19</v>
      </c>
      <c r="G90" t="s">
        <v>135</v>
      </c>
      <c r="H90">
        <v>392828.18</v>
      </c>
      <c r="I90" t="s">
        <v>390</v>
      </c>
      <c r="J90" t="s">
        <v>391</v>
      </c>
      <c r="K90" t="s">
        <v>392</v>
      </c>
      <c r="L90">
        <v>2.1</v>
      </c>
      <c r="M90">
        <v>7</v>
      </c>
      <c r="N90" t="s">
        <v>39</v>
      </c>
      <c r="O90">
        <v>42.9</v>
      </c>
    </row>
    <row r="91" spans="1:15" x14ac:dyDescent="0.3">
      <c r="A91" t="s">
        <v>393</v>
      </c>
      <c r="B91">
        <v>26</v>
      </c>
      <c r="C91" t="s">
        <v>60</v>
      </c>
      <c r="D91" t="s">
        <v>121</v>
      </c>
      <c r="E91" t="s">
        <v>394</v>
      </c>
      <c r="F91" t="s">
        <v>19</v>
      </c>
      <c r="G91" t="s">
        <v>101</v>
      </c>
      <c r="H91">
        <v>119916.16</v>
      </c>
      <c r="I91" t="s">
        <v>395</v>
      </c>
      <c r="K91" t="s">
        <v>396</v>
      </c>
      <c r="L91">
        <v>9.4</v>
      </c>
      <c r="M91">
        <v>26</v>
      </c>
      <c r="N91" t="s">
        <v>78</v>
      </c>
      <c r="O91">
        <v>72</v>
      </c>
    </row>
    <row r="92" spans="1:15" x14ac:dyDescent="0.3">
      <c r="A92" t="s">
        <v>397</v>
      </c>
      <c r="B92">
        <v>54</v>
      </c>
      <c r="D92" t="s">
        <v>80</v>
      </c>
      <c r="E92" t="s">
        <v>398</v>
      </c>
      <c r="F92" t="s">
        <v>89</v>
      </c>
      <c r="G92" t="s">
        <v>28</v>
      </c>
      <c r="I92" t="s">
        <v>399</v>
      </c>
      <c r="J92" t="s">
        <v>400</v>
      </c>
      <c r="K92" t="s">
        <v>401</v>
      </c>
      <c r="L92">
        <v>9.6999999999999993</v>
      </c>
      <c r="M92">
        <v>34</v>
      </c>
      <c r="N92" t="s">
        <v>78</v>
      </c>
      <c r="O92">
        <v>93.2</v>
      </c>
    </row>
    <row r="93" spans="1:15" x14ac:dyDescent="0.3">
      <c r="A93" t="s">
        <v>402</v>
      </c>
      <c r="C93" t="s">
        <v>60</v>
      </c>
      <c r="D93" t="s">
        <v>34</v>
      </c>
      <c r="E93" t="s">
        <v>48</v>
      </c>
      <c r="F93" t="s">
        <v>109</v>
      </c>
      <c r="G93" t="s">
        <v>28</v>
      </c>
      <c r="H93">
        <v>553258.77</v>
      </c>
      <c r="I93" t="s">
        <v>403</v>
      </c>
      <c r="J93" t="s">
        <v>404</v>
      </c>
      <c r="K93" t="s">
        <v>405</v>
      </c>
      <c r="L93">
        <v>6.2</v>
      </c>
      <c r="M93">
        <v>25</v>
      </c>
      <c r="O93">
        <v>66.2</v>
      </c>
    </row>
    <row r="94" spans="1:15" x14ac:dyDescent="0.3">
      <c r="A94" t="s">
        <v>406</v>
      </c>
      <c r="B94">
        <v>47</v>
      </c>
      <c r="C94" t="s">
        <v>60</v>
      </c>
      <c r="D94" t="s">
        <v>76</v>
      </c>
      <c r="E94" t="s">
        <v>93</v>
      </c>
      <c r="F94" t="s">
        <v>43</v>
      </c>
      <c r="G94" t="s">
        <v>28</v>
      </c>
      <c r="H94" t="s">
        <v>407</v>
      </c>
      <c r="I94" t="s">
        <v>408</v>
      </c>
      <c r="J94" t="s">
        <v>409</v>
      </c>
      <c r="K94" t="s">
        <v>410</v>
      </c>
      <c r="L94">
        <v>2.4</v>
      </c>
      <c r="M94">
        <v>2</v>
      </c>
      <c r="N94" t="s">
        <v>85</v>
      </c>
      <c r="O94">
        <v>9.1</v>
      </c>
    </row>
    <row r="95" spans="1:15" x14ac:dyDescent="0.3">
      <c r="A95" t="s">
        <v>411</v>
      </c>
      <c r="B95">
        <v>41</v>
      </c>
      <c r="C95" t="s">
        <v>26</v>
      </c>
      <c r="D95" t="s">
        <v>129</v>
      </c>
      <c r="E95" t="s">
        <v>88</v>
      </c>
      <c r="F95" t="s">
        <v>43</v>
      </c>
      <c r="G95" t="s">
        <v>62</v>
      </c>
      <c r="H95">
        <v>102379.11</v>
      </c>
      <c r="I95" t="s">
        <v>412</v>
      </c>
      <c r="J95" t="s">
        <v>413</v>
      </c>
      <c r="K95" t="s">
        <v>414</v>
      </c>
      <c r="L95">
        <v>10</v>
      </c>
      <c r="M95">
        <v>8</v>
      </c>
      <c r="N95" t="s">
        <v>85</v>
      </c>
      <c r="O95">
        <v>33.200000000000003</v>
      </c>
    </row>
    <row r="96" spans="1:15" x14ac:dyDescent="0.3">
      <c r="A96" t="s">
        <v>415</v>
      </c>
      <c r="B96">
        <v>49</v>
      </c>
      <c r="C96" t="s">
        <v>33</v>
      </c>
      <c r="D96" t="s">
        <v>76</v>
      </c>
      <c r="E96" t="s">
        <v>88</v>
      </c>
      <c r="F96" t="s">
        <v>19</v>
      </c>
      <c r="H96">
        <v>101227.25</v>
      </c>
      <c r="I96" t="s">
        <v>416</v>
      </c>
      <c r="J96" t="s">
        <v>417</v>
      </c>
      <c r="L96">
        <v>2.8</v>
      </c>
      <c r="M96">
        <v>34</v>
      </c>
      <c r="N96" t="s">
        <v>133</v>
      </c>
      <c r="O96">
        <v>35.9</v>
      </c>
    </row>
    <row r="97" spans="1:15" x14ac:dyDescent="0.3">
      <c r="A97" t="s">
        <v>418</v>
      </c>
      <c r="B97">
        <v>54</v>
      </c>
      <c r="C97" t="s">
        <v>41</v>
      </c>
      <c r="D97" t="s">
        <v>34</v>
      </c>
      <c r="E97" t="s">
        <v>48</v>
      </c>
      <c r="F97" t="s">
        <v>94</v>
      </c>
      <c r="G97" t="s">
        <v>20</v>
      </c>
      <c r="H97" t="s">
        <v>419</v>
      </c>
      <c r="I97" t="s">
        <v>71</v>
      </c>
      <c r="J97" t="s">
        <v>420</v>
      </c>
      <c r="K97" t="s">
        <v>421</v>
      </c>
      <c r="L97">
        <v>6.2</v>
      </c>
      <c r="M97">
        <v>11</v>
      </c>
      <c r="O97">
        <v>73.8</v>
      </c>
    </row>
    <row r="98" spans="1:15" x14ac:dyDescent="0.3">
      <c r="A98" t="s">
        <v>422</v>
      </c>
      <c r="B98">
        <v>44</v>
      </c>
      <c r="C98" t="s">
        <v>159</v>
      </c>
      <c r="D98" t="s">
        <v>121</v>
      </c>
      <c r="F98" t="s">
        <v>19</v>
      </c>
      <c r="G98" t="s">
        <v>135</v>
      </c>
      <c r="H98">
        <v>485438.4</v>
      </c>
      <c r="I98" t="s">
        <v>423</v>
      </c>
      <c r="J98" t="s">
        <v>424</v>
      </c>
      <c r="K98" t="s">
        <v>425</v>
      </c>
      <c r="L98">
        <v>7.5</v>
      </c>
      <c r="M98">
        <v>20</v>
      </c>
      <c r="N98" t="s">
        <v>78</v>
      </c>
      <c r="O98">
        <v>91.7</v>
      </c>
    </row>
    <row r="99" spans="1:15" x14ac:dyDescent="0.3">
      <c r="A99" t="s">
        <v>426</v>
      </c>
      <c r="B99">
        <v>26</v>
      </c>
      <c r="D99" t="s">
        <v>115</v>
      </c>
      <c r="E99" t="s">
        <v>93</v>
      </c>
      <c r="F99" t="s">
        <v>19</v>
      </c>
      <c r="H99">
        <v>364828.8</v>
      </c>
      <c r="I99" t="s">
        <v>427</v>
      </c>
      <c r="J99" t="s">
        <v>428</v>
      </c>
      <c r="K99" t="s">
        <v>429</v>
      </c>
      <c r="L99">
        <v>3.8</v>
      </c>
      <c r="M99">
        <v>0</v>
      </c>
      <c r="O99">
        <v>99.4</v>
      </c>
    </row>
    <row r="100" spans="1:15" x14ac:dyDescent="0.3">
      <c r="A100" t="s">
        <v>430</v>
      </c>
      <c r="B100">
        <v>36</v>
      </c>
      <c r="C100" t="s">
        <v>60</v>
      </c>
      <c r="D100" t="s">
        <v>129</v>
      </c>
      <c r="E100" t="s">
        <v>93</v>
      </c>
      <c r="F100" t="s">
        <v>94</v>
      </c>
      <c r="G100" t="s">
        <v>62</v>
      </c>
      <c r="H100" t="s">
        <v>431</v>
      </c>
      <c r="I100" t="s">
        <v>432</v>
      </c>
      <c r="J100" t="s">
        <v>433</v>
      </c>
      <c r="K100" t="s">
        <v>434</v>
      </c>
      <c r="L100">
        <v>4.5</v>
      </c>
      <c r="M100">
        <v>26</v>
      </c>
      <c r="N100" t="s">
        <v>133</v>
      </c>
      <c r="O100">
        <v>37.5</v>
      </c>
    </row>
    <row r="101" spans="1:15" x14ac:dyDescent="0.3">
      <c r="A101" t="s">
        <v>435</v>
      </c>
      <c r="B101">
        <v>36</v>
      </c>
      <c r="C101" t="s">
        <v>159</v>
      </c>
      <c r="D101" t="s">
        <v>121</v>
      </c>
      <c r="E101" t="s">
        <v>70</v>
      </c>
      <c r="F101" t="s">
        <v>36</v>
      </c>
      <c r="H101">
        <v>688948.99</v>
      </c>
      <c r="I101" t="s">
        <v>436</v>
      </c>
      <c r="J101" t="s">
        <v>437</v>
      </c>
      <c r="K101" t="s">
        <v>438</v>
      </c>
      <c r="L101">
        <v>2.4</v>
      </c>
      <c r="M101">
        <v>12</v>
      </c>
      <c r="O101">
        <v>73</v>
      </c>
    </row>
    <row r="102" spans="1:15" x14ac:dyDescent="0.3">
      <c r="A102" t="s">
        <v>439</v>
      </c>
      <c r="B102">
        <v>25</v>
      </c>
      <c r="C102" t="s">
        <v>159</v>
      </c>
      <c r="D102" t="s">
        <v>129</v>
      </c>
      <c r="E102" t="s">
        <v>48</v>
      </c>
      <c r="F102" t="s">
        <v>109</v>
      </c>
      <c r="G102" t="s">
        <v>44</v>
      </c>
      <c r="H102">
        <v>433482.76</v>
      </c>
      <c r="I102" t="s">
        <v>440</v>
      </c>
      <c r="J102" t="s">
        <v>441</v>
      </c>
      <c r="K102" t="s">
        <v>442</v>
      </c>
      <c r="L102">
        <v>1.8</v>
      </c>
      <c r="M102">
        <v>24</v>
      </c>
      <c r="N102" t="s">
        <v>133</v>
      </c>
    </row>
    <row r="103" spans="1:15" x14ac:dyDescent="0.3">
      <c r="A103" t="s">
        <v>443</v>
      </c>
      <c r="B103">
        <v>58</v>
      </c>
      <c r="C103" t="s">
        <v>159</v>
      </c>
      <c r="D103" t="s">
        <v>55</v>
      </c>
      <c r="E103" t="s">
        <v>18</v>
      </c>
      <c r="F103" t="s">
        <v>43</v>
      </c>
      <c r="H103">
        <v>560577.29</v>
      </c>
      <c r="I103" t="s">
        <v>444</v>
      </c>
      <c r="J103" t="s">
        <v>445</v>
      </c>
      <c r="K103" t="s">
        <v>446</v>
      </c>
      <c r="L103">
        <v>9.1</v>
      </c>
      <c r="M103">
        <v>33</v>
      </c>
      <c r="N103" t="s">
        <v>53</v>
      </c>
      <c r="O103">
        <v>14.7</v>
      </c>
    </row>
    <row r="104" spans="1:15" x14ac:dyDescent="0.3">
      <c r="A104" t="s">
        <v>447</v>
      </c>
      <c r="B104">
        <v>35</v>
      </c>
      <c r="C104" t="s">
        <v>33</v>
      </c>
      <c r="D104" t="s">
        <v>115</v>
      </c>
      <c r="E104" t="s">
        <v>70</v>
      </c>
      <c r="F104" t="s">
        <v>94</v>
      </c>
      <c r="G104" t="s">
        <v>28</v>
      </c>
      <c r="H104">
        <v>384829.93</v>
      </c>
      <c r="I104" t="s">
        <v>448</v>
      </c>
      <c r="J104" t="s">
        <v>449</v>
      </c>
      <c r="K104" t="s">
        <v>450</v>
      </c>
      <c r="L104">
        <v>6.3</v>
      </c>
      <c r="M104">
        <v>9</v>
      </c>
      <c r="O104">
        <v>96.5</v>
      </c>
    </row>
    <row r="105" spans="1:15" x14ac:dyDescent="0.3">
      <c r="A105" t="s">
        <v>451</v>
      </c>
      <c r="B105">
        <v>40</v>
      </c>
      <c r="C105" t="s">
        <v>26</v>
      </c>
      <c r="D105" t="s">
        <v>69</v>
      </c>
      <c r="E105" t="s">
        <v>452</v>
      </c>
      <c r="F105" t="s">
        <v>27</v>
      </c>
      <c r="G105" t="s">
        <v>135</v>
      </c>
      <c r="H105">
        <v>712083.37</v>
      </c>
      <c r="I105" t="s">
        <v>453</v>
      </c>
      <c r="J105" t="s">
        <v>454</v>
      </c>
      <c r="L105">
        <v>1.2</v>
      </c>
      <c r="M105">
        <v>17</v>
      </c>
      <c r="N105" t="s">
        <v>85</v>
      </c>
      <c r="O105">
        <v>9.8000000000000007</v>
      </c>
    </row>
    <row r="106" spans="1:15" x14ac:dyDescent="0.3">
      <c r="A106" t="s">
        <v>455</v>
      </c>
      <c r="B106">
        <v>50</v>
      </c>
      <c r="C106" t="s">
        <v>41</v>
      </c>
      <c r="D106" t="s">
        <v>34</v>
      </c>
      <c r="E106" t="s">
        <v>61</v>
      </c>
      <c r="F106" t="s">
        <v>100</v>
      </c>
      <c r="G106" t="s">
        <v>28</v>
      </c>
      <c r="I106" t="s">
        <v>456</v>
      </c>
      <c r="J106" t="s">
        <v>457</v>
      </c>
      <c r="K106" t="s">
        <v>458</v>
      </c>
      <c r="L106">
        <v>1.3</v>
      </c>
      <c r="M106">
        <v>3</v>
      </c>
      <c r="N106" t="s">
        <v>133</v>
      </c>
    </row>
    <row r="107" spans="1:15" x14ac:dyDescent="0.3">
      <c r="A107" t="s">
        <v>459</v>
      </c>
      <c r="B107">
        <v>54</v>
      </c>
      <c r="C107" t="s">
        <v>68</v>
      </c>
      <c r="D107" t="s">
        <v>460</v>
      </c>
      <c r="E107" t="s">
        <v>48</v>
      </c>
      <c r="F107" t="s">
        <v>36</v>
      </c>
      <c r="G107" t="s">
        <v>20</v>
      </c>
      <c r="H107">
        <v>570445.54</v>
      </c>
      <c r="I107" t="s">
        <v>461</v>
      </c>
      <c r="J107" t="s">
        <v>22</v>
      </c>
      <c r="K107" t="s">
        <v>462</v>
      </c>
      <c r="L107">
        <v>8.6999999999999993</v>
      </c>
      <c r="M107">
        <v>17</v>
      </c>
    </row>
    <row r="108" spans="1:15" x14ac:dyDescent="0.3">
      <c r="A108" t="s">
        <v>463</v>
      </c>
      <c r="E108" t="s">
        <v>88</v>
      </c>
      <c r="F108" t="s">
        <v>89</v>
      </c>
      <c r="G108" t="s">
        <v>62</v>
      </c>
      <c r="H108">
        <v>261721.12</v>
      </c>
      <c r="I108" t="s">
        <v>464</v>
      </c>
      <c r="J108" t="s">
        <v>465</v>
      </c>
      <c r="K108" t="s">
        <v>466</v>
      </c>
      <c r="L108">
        <v>6.8</v>
      </c>
      <c r="M108">
        <v>6</v>
      </c>
      <c r="N108" t="s">
        <v>24</v>
      </c>
      <c r="O108">
        <v>64.099999999999994</v>
      </c>
    </row>
    <row r="109" spans="1:15" x14ac:dyDescent="0.3">
      <c r="A109" t="s">
        <v>467</v>
      </c>
      <c r="B109">
        <v>41</v>
      </c>
      <c r="C109" t="s">
        <v>114</v>
      </c>
      <c r="D109" t="s">
        <v>99</v>
      </c>
      <c r="E109" t="s">
        <v>35</v>
      </c>
      <c r="F109" t="s">
        <v>36</v>
      </c>
      <c r="G109" t="s">
        <v>20</v>
      </c>
      <c r="H109">
        <v>253017.5</v>
      </c>
      <c r="I109" t="s">
        <v>468</v>
      </c>
      <c r="K109" t="s">
        <v>469</v>
      </c>
      <c r="L109">
        <v>4.0999999999999996</v>
      </c>
      <c r="M109">
        <v>30</v>
      </c>
      <c r="N109" t="s">
        <v>53</v>
      </c>
      <c r="O109">
        <v>30</v>
      </c>
    </row>
    <row r="110" spans="1:15" x14ac:dyDescent="0.3">
      <c r="A110" t="s">
        <v>470</v>
      </c>
      <c r="B110">
        <v>52</v>
      </c>
      <c r="C110" t="s">
        <v>26</v>
      </c>
      <c r="D110" t="s">
        <v>80</v>
      </c>
      <c r="E110" t="s">
        <v>42</v>
      </c>
      <c r="F110" t="s">
        <v>43</v>
      </c>
      <c r="G110" t="s">
        <v>62</v>
      </c>
      <c r="H110">
        <v>662007.59</v>
      </c>
      <c r="I110" t="s">
        <v>471</v>
      </c>
      <c r="J110" t="s">
        <v>472</v>
      </c>
      <c r="K110" t="s">
        <v>473</v>
      </c>
      <c r="L110">
        <v>1.5</v>
      </c>
      <c r="M110">
        <v>4</v>
      </c>
      <c r="N110" t="s">
        <v>78</v>
      </c>
      <c r="O110">
        <v>86.7</v>
      </c>
    </row>
    <row r="111" spans="1:15" x14ac:dyDescent="0.3">
      <c r="A111" t="s">
        <v>474</v>
      </c>
      <c r="B111">
        <v>31</v>
      </c>
      <c r="C111" t="s">
        <v>159</v>
      </c>
      <c r="D111" t="s">
        <v>80</v>
      </c>
      <c r="E111" t="s">
        <v>48</v>
      </c>
      <c r="F111" t="s">
        <v>36</v>
      </c>
      <c r="G111" t="s">
        <v>101</v>
      </c>
      <c r="H111">
        <v>374618.13</v>
      </c>
      <c r="I111" t="s">
        <v>475</v>
      </c>
      <c r="J111" t="s">
        <v>476</v>
      </c>
      <c r="K111" t="s">
        <v>477</v>
      </c>
      <c r="L111">
        <v>5.4</v>
      </c>
      <c r="M111">
        <v>27</v>
      </c>
      <c r="N111" t="s">
        <v>133</v>
      </c>
      <c r="O111">
        <v>47.7</v>
      </c>
    </row>
    <row r="112" spans="1:15" x14ac:dyDescent="0.3">
      <c r="A112" t="s">
        <v>478</v>
      </c>
      <c r="B112">
        <v>45</v>
      </c>
      <c r="C112" t="s">
        <v>41</v>
      </c>
      <c r="D112" t="s">
        <v>80</v>
      </c>
      <c r="E112" t="s">
        <v>42</v>
      </c>
      <c r="F112" t="s">
        <v>100</v>
      </c>
      <c r="G112" t="s">
        <v>135</v>
      </c>
      <c r="H112">
        <v>624930.37</v>
      </c>
      <c r="I112" t="s">
        <v>479</v>
      </c>
      <c r="J112" t="s">
        <v>480</v>
      </c>
      <c r="L112">
        <v>4.9000000000000004</v>
      </c>
      <c r="M112">
        <v>31</v>
      </c>
      <c r="N112" t="s">
        <v>78</v>
      </c>
      <c r="O112">
        <v>90.7</v>
      </c>
    </row>
    <row r="113" spans="1:15" x14ac:dyDescent="0.3">
      <c r="A113" t="s">
        <v>481</v>
      </c>
      <c r="C113" t="s">
        <v>16</v>
      </c>
      <c r="D113" t="s">
        <v>121</v>
      </c>
      <c r="E113" t="s">
        <v>61</v>
      </c>
      <c r="F113" t="s">
        <v>49</v>
      </c>
      <c r="G113" t="s">
        <v>28</v>
      </c>
      <c r="H113">
        <v>443336.16</v>
      </c>
      <c r="I113" t="s">
        <v>482</v>
      </c>
      <c r="J113" t="s">
        <v>483</v>
      </c>
      <c r="K113" t="s">
        <v>484</v>
      </c>
      <c r="L113">
        <v>5.9</v>
      </c>
      <c r="M113">
        <v>0</v>
      </c>
      <c r="N113" t="s">
        <v>53</v>
      </c>
      <c r="O113">
        <v>52</v>
      </c>
    </row>
    <row r="114" spans="1:15" x14ac:dyDescent="0.3">
      <c r="A114" t="s">
        <v>485</v>
      </c>
      <c r="B114">
        <v>28</v>
      </c>
      <c r="C114" t="s">
        <v>60</v>
      </c>
      <c r="E114" t="s">
        <v>42</v>
      </c>
      <c r="F114" t="s">
        <v>43</v>
      </c>
      <c r="G114" t="s">
        <v>28</v>
      </c>
      <c r="H114">
        <v>283548.87</v>
      </c>
      <c r="I114" t="s">
        <v>275</v>
      </c>
      <c r="J114" t="s">
        <v>486</v>
      </c>
      <c r="K114" t="s">
        <v>487</v>
      </c>
      <c r="L114">
        <v>8.5</v>
      </c>
      <c r="M114">
        <v>5</v>
      </c>
      <c r="N114" t="s">
        <v>39</v>
      </c>
      <c r="O114">
        <v>10.1</v>
      </c>
    </row>
    <row r="115" spans="1:15" x14ac:dyDescent="0.3">
      <c r="A115" t="s">
        <v>113</v>
      </c>
      <c r="B115">
        <v>38</v>
      </c>
      <c r="D115" t="s">
        <v>80</v>
      </c>
      <c r="E115" t="s">
        <v>48</v>
      </c>
      <c r="F115" t="s">
        <v>89</v>
      </c>
      <c r="G115" t="s">
        <v>101</v>
      </c>
      <c r="H115">
        <v>205785.3</v>
      </c>
      <c r="I115" t="s">
        <v>117</v>
      </c>
      <c r="J115" t="s">
        <v>488</v>
      </c>
      <c r="K115" t="s">
        <v>489</v>
      </c>
      <c r="L115">
        <v>2</v>
      </c>
      <c r="M115">
        <v>24</v>
      </c>
      <c r="N115" t="s">
        <v>133</v>
      </c>
      <c r="O115">
        <v>64.900000000000006</v>
      </c>
    </row>
    <row r="116" spans="1:15" x14ac:dyDescent="0.3">
      <c r="A116" t="s">
        <v>228</v>
      </c>
      <c r="B116">
        <v>25</v>
      </c>
      <c r="C116" t="s">
        <v>114</v>
      </c>
      <c r="D116" t="s">
        <v>76</v>
      </c>
      <c r="E116" t="s">
        <v>48</v>
      </c>
      <c r="F116" t="s">
        <v>89</v>
      </c>
      <c r="G116" t="s">
        <v>62</v>
      </c>
      <c r="H116">
        <v>154673.44</v>
      </c>
      <c r="I116" t="s">
        <v>229</v>
      </c>
      <c r="J116" t="s">
        <v>490</v>
      </c>
      <c r="K116" t="s">
        <v>491</v>
      </c>
      <c r="L116">
        <v>7.3</v>
      </c>
      <c r="M116">
        <v>14</v>
      </c>
      <c r="N116" t="s">
        <v>53</v>
      </c>
      <c r="O116">
        <v>51.9</v>
      </c>
    </row>
    <row r="117" spans="1:15" x14ac:dyDescent="0.3">
      <c r="A117" t="s">
        <v>492</v>
      </c>
      <c r="B117">
        <v>37</v>
      </c>
      <c r="C117" t="s">
        <v>68</v>
      </c>
      <c r="D117" t="s">
        <v>76</v>
      </c>
      <c r="E117" t="s">
        <v>35</v>
      </c>
      <c r="F117" t="s">
        <v>27</v>
      </c>
      <c r="G117" t="s">
        <v>62</v>
      </c>
      <c r="H117">
        <v>541811.21</v>
      </c>
      <c r="I117" t="s">
        <v>493</v>
      </c>
      <c r="K117" t="s">
        <v>494</v>
      </c>
      <c r="L117">
        <v>5.6</v>
      </c>
      <c r="M117">
        <v>15</v>
      </c>
      <c r="N117" t="s">
        <v>133</v>
      </c>
      <c r="O117">
        <v>44.8</v>
      </c>
    </row>
    <row r="118" spans="1:15" x14ac:dyDescent="0.3">
      <c r="A118" t="s">
        <v>495</v>
      </c>
      <c r="C118" t="s">
        <v>26</v>
      </c>
      <c r="D118" t="s">
        <v>115</v>
      </c>
      <c r="E118" t="s">
        <v>88</v>
      </c>
      <c r="F118" t="s">
        <v>109</v>
      </c>
      <c r="G118" t="s">
        <v>135</v>
      </c>
      <c r="H118">
        <v>370476.55</v>
      </c>
      <c r="I118" t="s">
        <v>95</v>
      </c>
      <c r="K118" t="s">
        <v>496</v>
      </c>
      <c r="L118">
        <v>6</v>
      </c>
      <c r="M118">
        <v>23</v>
      </c>
      <c r="N118" t="s">
        <v>39</v>
      </c>
      <c r="O118">
        <v>65.900000000000006</v>
      </c>
    </row>
    <row r="119" spans="1:15" x14ac:dyDescent="0.3">
      <c r="A119" t="s">
        <v>497</v>
      </c>
      <c r="B119">
        <v>40</v>
      </c>
      <c r="C119" t="s">
        <v>60</v>
      </c>
      <c r="D119" t="s">
        <v>76</v>
      </c>
      <c r="E119" t="s">
        <v>88</v>
      </c>
      <c r="F119" t="s">
        <v>89</v>
      </c>
      <c r="G119" t="s">
        <v>28</v>
      </c>
      <c r="H119">
        <v>156552.01</v>
      </c>
      <c r="I119" t="s">
        <v>498</v>
      </c>
      <c r="J119" t="s">
        <v>499</v>
      </c>
      <c r="K119" t="s">
        <v>500</v>
      </c>
      <c r="L119">
        <v>7.8</v>
      </c>
      <c r="M119">
        <v>7</v>
      </c>
      <c r="N119" t="s">
        <v>133</v>
      </c>
      <c r="O119">
        <v>58.9</v>
      </c>
    </row>
    <row r="120" spans="1:15" x14ac:dyDescent="0.3">
      <c r="A120" t="s">
        <v>501</v>
      </c>
      <c r="B120">
        <v>55</v>
      </c>
      <c r="D120" t="s">
        <v>69</v>
      </c>
      <c r="E120" t="s">
        <v>93</v>
      </c>
      <c r="F120" t="s">
        <v>27</v>
      </c>
      <c r="G120" t="s">
        <v>62</v>
      </c>
      <c r="H120">
        <v>391623.47</v>
      </c>
      <c r="I120" t="s">
        <v>502</v>
      </c>
      <c r="J120" t="s">
        <v>503</v>
      </c>
      <c r="K120" t="s">
        <v>504</v>
      </c>
      <c r="L120">
        <v>8.1999999999999993</v>
      </c>
      <c r="M120">
        <v>32</v>
      </c>
      <c r="N120" t="s">
        <v>53</v>
      </c>
      <c r="O120">
        <v>31.4</v>
      </c>
    </row>
    <row r="121" spans="1:15" x14ac:dyDescent="0.3">
      <c r="A121" t="s">
        <v>505</v>
      </c>
      <c r="B121">
        <v>35</v>
      </c>
      <c r="D121" t="s">
        <v>55</v>
      </c>
      <c r="E121" t="s">
        <v>70</v>
      </c>
      <c r="F121" t="s">
        <v>100</v>
      </c>
      <c r="G121" t="s">
        <v>44</v>
      </c>
      <c r="H121">
        <v>328611.38</v>
      </c>
      <c r="I121" t="s">
        <v>82</v>
      </c>
      <c r="J121" t="s">
        <v>22</v>
      </c>
      <c r="K121" t="s">
        <v>506</v>
      </c>
      <c r="N121" t="s">
        <v>78</v>
      </c>
    </row>
    <row r="122" spans="1:15" x14ac:dyDescent="0.3">
      <c r="A122" t="s">
        <v>507</v>
      </c>
      <c r="B122">
        <v>40</v>
      </c>
      <c r="C122" t="s">
        <v>60</v>
      </c>
      <c r="D122" t="s">
        <v>34</v>
      </c>
      <c r="E122" t="s">
        <v>88</v>
      </c>
      <c r="F122" t="s">
        <v>27</v>
      </c>
      <c r="G122" t="s">
        <v>62</v>
      </c>
      <c r="H122">
        <v>124663.63</v>
      </c>
      <c r="I122" t="s">
        <v>508</v>
      </c>
      <c r="J122" t="s">
        <v>509</v>
      </c>
      <c r="K122" t="s">
        <v>510</v>
      </c>
      <c r="L122">
        <v>9.3000000000000007</v>
      </c>
      <c r="M122">
        <v>20</v>
      </c>
      <c r="N122" t="s">
        <v>39</v>
      </c>
    </row>
    <row r="123" spans="1:15" x14ac:dyDescent="0.3">
      <c r="A123" t="s">
        <v>511</v>
      </c>
      <c r="B123">
        <v>36</v>
      </c>
      <c r="C123" t="s">
        <v>33</v>
      </c>
      <c r="D123" t="s">
        <v>129</v>
      </c>
      <c r="E123" t="s">
        <v>70</v>
      </c>
      <c r="F123" t="s">
        <v>100</v>
      </c>
      <c r="G123" t="s">
        <v>44</v>
      </c>
      <c r="H123">
        <v>546295.31999999995</v>
      </c>
      <c r="I123" t="s">
        <v>512</v>
      </c>
      <c r="J123" t="s">
        <v>513</v>
      </c>
      <c r="K123" t="s">
        <v>514</v>
      </c>
      <c r="L123">
        <v>2.2000000000000002</v>
      </c>
      <c r="M123">
        <v>21</v>
      </c>
      <c r="N123" t="s">
        <v>78</v>
      </c>
    </row>
    <row r="124" spans="1:15" x14ac:dyDescent="0.3">
      <c r="A124" t="s">
        <v>290</v>
      </c>
      <c r="B124">
        <v>41</v>
      </c>
      <c r="C124" t="s">
        <v>60</v>
      </c>
      <c r="D124" t="s">
        <v>115</v>
      </c>
      <c r="E124" t="s">
        <v>18</v>
      </c>
      <c r="F124" t="s">
        <v>36</v>
      </c>
      <c r="G124" t="s">
        <v>62</v>
      </c>
      <c r="H124">
        <v>337821.62</v>
      </c>
      <c r="I124" t="s">
        <v>291</v>
      </c>
      <c r="J124" t="s">
        <v>515</v>
      </c>
      <c r="L124">
        <v>5.3</v>
      </c>
      <c r="M124">
        <v>0</v>
      </c>
      <c r="N124" t="s">
        <v>24</v>
      </c>
      <c r="O124">
        <v>90.4</v>
      </c>
    </row>
    <row r="125" spans="1:15" x14ac:dyDescent="0.3">
      <c r="A125" t="s">
        <v>274</v>
      </c>
      <c r="B125">
        <v>42</v>
      </c>
      <c r="C125" t="s">
        <v>26</v>
      </c>
      <c r="D125" t="s">
        <v>34</v>
      </c>
      <c r="E125" t="s">
        <v>61</v>
      </c>
      <c r="F125" t="s">
        <v>100</v>
      </c>
      <c r="G125" t="s">
        <v>62</v>
      </c>
      <c r="I125" t="s">
        <v>275</v>
      </c>
      <c r="J125" t="s">
        <v>22</v>
      </c>
      <c r="K125" t="s">
        <v>516</v>
      </c>
      <c r="L125">
        <v>1.1000000000000001</v>
      </c>
      <c r="M125">
        <v>13</v>
      </c>
      <c r="N125" t="s">
        <v>133</v>
      </c>
      <c r="O125">
        <v>20.6</v>
      </c>
    </row>
    <row r="126" spans="1:15" x14ac:dyDescent="0.3">
      <c r="A126" t="s">
        <v>517</v>
      </c>
      <c r="C126" t="s">
        <v>68</v>
      </c>
      <c r="D126" t="s">
        <v>345</v>
      </c>
      <c r="F126" t="s">
        <v>43</v>
      </c>
      <c r="G126" t="s">
        <v>28</v>
      </c>
      <c r="H126">
        <v>132738.57999999999</v>
      </c>
      <c r="I126" t="s">
        <v>518</v>
      </c>
      <c r="J126" t="s">
        <v>519</v>
      </c>
      <c r="K126" t="s">
        <v>520</v>
      </c>
      <c r="L126">
        <v>1.4</v>
      </c>
      <c r="M126">
        <v>32</v>
      </c>
      <c r="N126" t="s">
        <v>85</v>
      </c>
      <c r="O126">
        <v>60.7</v>
      </c>
    </row>
    <row r="127" spans="1:15" x14ac:dyDescent="0.3">
      <c r="A127" t="s">
        <v>521</v>
      </c>
      <c r="B127">
        <v>23</v>
      </c>
      <c r="C127" t="s">
        <v>68</v>
      </c>
      <c r="D127" t="s">
        <v>522</v>
      </c>
      <c r="E127" t="s">
        <v>61</v>
      </c>
      <c r="F127" t="s">
        <v>100</v>
      </c>
      <c r="G127" t="s">
        <v>62</v>
      </c>
      <c r="H127">
        <v>178194.65</v>
      </c>
      <c r="I127" t="s">
        <v>523</v>
      </c>
      <c r="J127" t="s">
        <v>524</v>
      </c>
      <c r="K127" t="s">
        <v>525</v>
      </c>
      <c r="L127">
        <v>9.5</v>
      </c>
      <c r="M127">
        <v>22</v>
      </c>
      <c r="N127" t="s">
        <v>53</v>
      </c>
      <c r="O127">
        <v>14.2</v>
      </c>
    </row>
    <row r="128" spans="1:15" x14ac:dyDescent="0.3">
      <c r="A128" t="s">
        <v>526</v>
      </c>
      <c r="B128">
        <v>34</v>
      </c>
      <c r="D128" t="s">
        <v>76</v>
      </c>
      <c r="E128" t="s">
        <v>70</v>
      </c>
      <c r="F128" t="s">
        <v>116</v>
      </c>
      <c r="G128" t="s">
        <v>28</v>
      </c>
      <c r="H128">
        <v>488450.7</v>
      </c>
      <c r="I128" t="s">
        <v>527</v>
      </c>
      <c r="J128" t="s">
        <v>22</v>
      </c>
      <c r="K128" t="s">
        <v>528</v>
      </c>
      <c r="L128">
        <v>3.6</v>
      </c>
      <c r="M128">
        <v>31</v>
      </c>
      <c r="O128">
        <v>69.3</v>
      </c>
    </row>
    <row r="129" spans="1:15" x14ac:dyDescent="0.3">
      <c r="A129" t="s">
        <v>529</v>
      </c>
      <c r="B129">
        <v>49</v>
      </c>
      <c r="D129" t="s">
        <v>129</v>
      </c>
      <c r="E129" t="s">
        <v>42</v>
      </c>
      <c r="F129" t="s">
        <v>19</v>
      </c>
      <c r="G129" t="s">
        <v>62</v>
      </c>
      <c r="H129">
        <v>645675.28</v>
      </c>
      <c r="I129" t="s">
        <v>530</v>
      </c>
      <c r="J129" t="s">
        <v>531</v>
      </c>
      <c r="K129" t="s">
        <v>532</v>
      </c>
      <c r="L129">
        <v>2.8</v>
      </c>
      <c r="M129">
        <v>4</v>
      </c>
      <c r="N129" t="s">
        <v>85</v>
      </c>
      <c r="O129">
        <v>3.1</v>
      </c>
    </row>
    <row r="130" spans="1:15" x14ac:dyDescent="0.3">
      <c r="A130" t="s">
        <v>533</v>
      </c>
      <c r="B130">
        <v>35</v>
      </c>
      <c r="C130" t="s">
        <v>68</v>
      </c>
      <c r="E130" t="s">
        <v>42</v>
      </c>
      <c r="F130" t="s">
        <v>116</v>
      </c>
      <c r="G130" t="s">
        <v>28</v>
      </c>
      <c r="H130">
        <v>471297.91</v>
      </c>
      <c r="I130" t="s">
        <v>534</v>
      </c>
      <c r="J130" t="s">
        <v>535</v>
      </c>
      <c r="K130" t="s">
        <v>536</v>
      </c>
      <c r="L130">
        <v>7.2</v>
      </c>
      <c r="M130">
        <v>10</v>
      </c>
      <c r="O130">
        <v>96.8</v>
      </c>
    </row>
    <row r="131" spans="1:15" x14ac:dyDescent="0.3">
      <c r="A131" t="s">
        <v>537</v>
      </c>
      <c r="B131">
        <v>36</v>
      </c>
      <c r="C131" t="s">
        <v>33</v>
      </c>
      <c r="D131" t="s">
        <v>80</v>
      </c>
      <c r="E131" t="s">
        <v>61</v>
      </c>
      <c r="F131" t="s">
        <v>100</v>
      </c>
      <c r="G131" t="s">
        <v>28</v>
      </c>
      <c r="H131">
        <v>270337.12</v>
      </c>
      <c r="I131" t="s">
        <v>538</v>
      </c>
      <c r="J131" t="s">
        <v>539</v>
      </c>
      <c r="K131" t="s">
        <v>540</v>
      </c>
      <c r="L131">
        <v>2.6</v>
      </c>
      <c r="M131">
        <v>4</v>
      </c>
      <c r="N131" t="s">
        <v>133</v>
      </c>
      <c r="O131">
        <v>22.3</v>
      </c>
    </row>
    <row r="132" spans="1:15" x14ac:dyDescent="0.3">
      <c r="A132" t="s">
        <v>541</v>
      </c>
      <c r="B132">
        <v>53</v>
      </c>
      <c r="C132" t="s">
        <v>26</v>
      </c>
      <c r="D132" t="s">
        <v>129</v>
      </c>
      <c r="E132" t="s">
        <v>70</v>
      </c>
      <c r="F132" t="s">
        <v>116</v>
      </c>
      <c r="G132" t="s">
        <v>28</v>
      </c>
      <c r="H132">
        <v>84750.33</v>
      </c>
      <c r="I132" t="s">
        <v>542</v>
      </c>
      <c r="J132" t="s">
        <v>543</v>
      </c>
      <c r="K132" t="s">
        <v>544</v>
      </c>
      <c r="M132">
        <v>2</v>
      </c>
      <c r="O132">
        <v>63</v>
      </c>
    </row>
    <row r="133" spans="1:15" x14ac:dyDescent="0.3">
      <c r="A133" t="s">
        <v>545</v>
      </c>
      <c r="B133">
        <v>38</v>
      </c>
      <c r="C133" t="s">
        <v>114</v>
      </c>
      <c r="D133" t="s">
        <v>55</v>
      </c>
      <c r="E133" t="s">
        <v>35</v>
      </c>
      <c r="F133" t="s">
        <v>19</v>
      </c>
      <c r="G133" t="s">
        <v>28</v>
      </c>
      <c r="H133">
        <v>371928.55</v>
      </c>
      <c r="I133" t="s">
        <v>546</v>
      </c>
      <c r="J133" t="s">
        <v>547</v>
      </c>
      <c r="K133" t="s">
        <v>548</v>
      </c>
      <c r="L133">
        <v>6.9</v>
      </c>
      <c r="M133">
        <v>21</v>
      </c>
      <c r="O133">
        <v>23</v>
      </c>
    </row>
    <row r="134" spans="1:15" x14ac:dyDescent="0.3">
      <c r="A134" t="s">
        <v>549</v>
      </c>
      <c r="B134">
        <v>55</v>
      </c>
      <c r="C134" t="s">
        <v>16</v>
      </c>
      <c r="D134" t="s">
        <v>99</v>
      </c>
      <c r="E134" t="s">
        <v>48</v>
      </c>
      <c r="F134" t="s">
        <v>94</v>
      </c>
      <c r="G134" t="s">
        <v>62</v>
      </c>
      <c r="I134" t="s">
        <v>550</v>
      </c>
      <c r="J134" t="s">
        <v>22</v>
      </c>
      <c r="K134" t="s">
        <v>551</v>
      </c>
      <c r="L134">
        <v>4.9000000000000004</v>
      </c>
      <c r="M134">
        <v>24</v>
      </c>
      <c r="N134" t="s">
        <v>85</v>
      </c>
      <c r="O134">
        <v>76.2</v>
      </c>
    </row>
    <row r="135" spans="1:15" x14ac:dyDescent="0.3">
      <c r="A135" t="s">
        <v>552</v>
      </c>
      <c r="B135">
        <v>38</v>
      </c>
      <c r="C135" t="s">
        <v>26</v>
      </c>
      <c r="D135" t="s">
        <v>99</v>
      </c>
      <c r="E135" t="s">
        <v>18</v>
      </c>
      <c r="F135" t="s">
        <v>36</v>
      </c>
      <c r="G135" t="s">
        <v>44</v>
      </c>
      <c r="H135">
        <v>698518.34</v>
      </c>
      <c r="I135" t="s">
        <v>553</v>
      </c>
      <c r="J135" t="s">
        <v>22</v>
      </c>
      <c r="K135" t="s">
        <v>554</v>
      </c>
      <c r="L135">
        <v>3.4</v>
      </c>
      <c r="M135">
        <v>17</v>
      </c>
      <c r="N135" t="s">
        <v>133</v>
      </c>
      <c r="O135">
        <v>41.3</v>
      </c>
    </row>
    <row r="136" spans="1:15" x14ac:dyDescent="0.3">
      <c r="A136" t="s">
        <v>555</v>
      </c>
      <c r="B136">
        <v>57</v>
      </c>
      <c r="C136" t="s">
        <v>26</v>
      </c>
      <c r="D136" t="s">
        <v>34</v>
      </c>
      <c r="E136" t="s">
        <v>48</v>
      </c>
      <c r="F136" t="s">
        <v>94</v>
      </c>
      <c r="G136" t="s">
        <v>101</v>
      </c>
      <c r="H136">
        <v>300790.21999999997</v>
      </c>
      <c r="I136" t="s">
        <v>556</v>
      </c>
      <c r="J136" t="s">
        <v>557</v>
      </c>
      <c r="K136" t="s">
        <v>558</v>
      </c>
      <c r="L136">
        <v>4.5</v>
      </c>
      <c r="M136">
        <v>9</v>
      </c>
      <c r="O136">
        <v>6.4</v>
      </c>
    </row>
    <row r="137" spans="1:15" x14ac:dyDescent="0.3">
      <c r="A137" t="s">
        <v>411</v>
      </c>
      <c r="B137">
        <v>46</v>
      </c>
      <c r="C137" t="s">
        <v>33</v>
      </c>
      <c r="D137" t="s">
        <v>80</v>
      </c>
      <c r="E137" t="s">
        <v>88</v>
      </c>
      <c r="F137" t="s">
        <v>100</v>
      </c>
      <c r="G137" t="s">
        <v>62</v>
      </c>
      <c r="H137">
        <v>552446.17000000004</v>
      </c>
      <c r="I137" t="s">
        <v>412</v>
      </c>
      <c r="K137" t="s">
        <v>559</v>
      </c>
      <c r="L137">
        <v>7.3</v>
      </c>
      <c r="M137">
        <v>23</v>
      </c>
      <c r="N137" t="s">
        <v>39</v>
      </c>
      <c r="O137">
        <v>8.6999999999999993</v>
      </c>
    </row>
    <row r="138" spans="1:15" x14ac:dyDescent="0.3">
      <c r="A138" t="s">
        <v>560</v>
      </c>
      <c r="B138">
        <v>47</v>
      </c>
      <c r="C138" t="s">
        <v>159</v>
      </c>
      <c r="D138" t="s">
        <v>99</v>
      </c>
      <c r="E138" t="s">
        <v>42</v>
      </c>
      <c r="F138" t="s">
        <v>49</v>
      </c>
      <c r="G138" t="s">
        <v>62</v>
      </c>
      <c r="H138" t="s">
        <v>561</v>
      </c>
      <c r="I138" t="s">
        <v>562</v>
      </c>
      <c r="J138" t="s">
        <v>563</v>
      </c>
      <c r="K138" t="s">
        <v>564</v>
      </c>
      <c r="L138">
        <v>2</v>
      </c>
      <c r="M138">
        <v>7</v>
      </c>
      <c r="N138" t="s">
        <v>24</v>
      </c>
      <c r="O138">
        <v>81.3</v>
      </c>
    </row>
    <row r="139" spans="1:15" x14ac:dyDescent="0.3">
      <c r="A139" t="s">
        <v>565</v>
      </c>
      <c r="B139">
        <v>58</v>
      </c>
      <c r="C139" t="s">
        <v>26</v>
      </c>
      <c r="D139" t="s">
        <v>99</v>
      </c>
      <c r="E139" t="s">
        <v>88</v>
      </c>
      <c r="F139" t="s">
        <v>94</v>
      </c>
      <c r="G139" t="s">
        <v>44</v>
      </c>
      <c r="H139">
        <v>324555.75</v>
      </c>
      <c r="I139" t="s">
        <v>566</v>
      </c>
      <c r="J139" t="s">
        <v>567</v>
      </c>
      <c r="K139" t="s">
        <v>568</v>
      </c>
      <c r="L139">
        <v>3.2</v>
      </c>
      <c r="M139">
        <v>21</v>
      </c>
      <c r="N139" t="s">
        <v>78</v>
      </c>
      <c r="O139">
        <v>35.4</v>
      </c>
    </row>
    <row r="140" spans="1:15" x14ac:dyDescent="0.3">
      <c r="A140" t="s">
        <v>569</v>
      </c>
      <c r="B140">
        <v>34</v>
      </c>
      <c r="C140" t="s">
        <v>159</v>
      </c>
      <c r="D140" t="s">
        <v>313</v>
      </c>
      <c r="E140" t="s">
        <v>70</v>
      </c>
      <c r="F140" t="s">
        <v>94</v>
      </c>
      <c r="G140" t="s">
        <v>62</v>
      </c>
      <c r="H140">
        <v>609508.93000000005</v>
      </c>
      <c r="I140" t="s">
        <v>570</v>
      </c>
      <c r="J140" t="s">
        <v>571</v>
      </c>
      <c r="K140" t="s">
        <v>572</v>
      </c>
      <c r="L140">
        <v>4.3</v>
      </c>
      <c r="M140">
        <v>17</v>
      </c>
      <c r="N140" t="s">
        <v>85</v>
      </c>
      <c r="O140">
        <v>28</v>
      </c>
    </row>
    <row r="141" spans="1:15" x14ac:dyDescent="0.3">
      <c r="A141" t="s">
        <v>573</v>
      </c>
      <c r="B141">
        <v>49</v>
      </c>
      <c r="C141" t="s">
        <v>68</v>
      </c>
      <c r="D141" t="s">
        <v>115</v>
      </c>
      <c r="E141" t="s">
        <v>61</v>
      </c>
      <c r="F141" t="s">
        <v>19</v>
      </c>
      <c r="G141" t="s">
        <v>62</v>
      </c>
      <c r="H141">
        <v>441782.15</v>
      </c>
      <c r="I141" t="s">
        <v>574</v>
      </c>
      <c r="J141" t="s">
        <v>575</v>
      </c>
      <c r="K141" t="s">
        <v>576</v>
      </c>
      <c r="L141">
        <v>3.4</v>
      </c>
      <c r="M141">
        <v>21</v>
      </c>
      <c r="N141" t="s">
        <v>133</v>
      </c>
      <c r="O141">
        <v>41.9</v>
      </c>
    </row>
    <row r="142" spans="1:15" x14ac:dyDescent="0.3">
      <c r="A142" t="s">
        <v>577</v>
      </c>
      <c r="B142">
        <v>39</v>
      </c>
      <c r="C142" t="s">
        <v>114</v>
      </c>
      <c r="D142" t="s">
        <v>76</v>
      </c>
      <c r="F142" t="s">
        <v>100</v>
      </c>
      <c r="G142" t="s">
        <v>62</v>
      </c>
      <c r="H142">
        <v>785076.17</v>
      </c>
      <c r="I142" t="s">
        <v>578</v>
      </c>
      <c r="J142" t="s">
        <v>579</v>
      </c>
      <c r="K142" t="s">
        <v>580</v>
      </c>
      <c r="L142">
        <v>7.5</v>
      </c>
      <c r="M142">
        <v>35</v>
      </c>
      <c r="N142" t="s">
        <v>39</v>
      </c>
      <c r="O142">
        <v>69.099999999999994</v>
      </c>
    </row>
    <row r="143" spans="1:15" x14ac:dyDescent="0.3">
      <c r="A143" t="s">
        <v>581</v>
      </c>
      <c r="B143">
        <v>28</v>
      </c>
      <c r="C143" t="s">
        <v>26</v>
      </c>
      <c r="D143" t="s">
        <v>34</v>
      </c>
      <c r="E143" t="s">
        <v>48</v>
      </c>
      <c r="F143" t="s">
        <v>43</v>
      </c>
      <c r="H143">
        <v>339892.66</v>
      </c>
      <c r="I143" t="s">
        <v>508</v>
      </c>
      <c r="J143" t="s">
        <v>582</v>
      </c>
      <c r="L143">
        <v>6.5</v>
      </c>
      <c r="M143">
        <v>10</v>
      </c>
      <c r="N143" t="s">
        <v>24</v>
      </c>
      <c r="O143">
        <v>61.2</v>
      </c>
    </row>
    <row r="144" spans="1:15" x14ac:dyDescent="0.3">
      <c r="A144" t="s">
        <v>583</v>
      </c>
      <c r="B144">
        <v>36</v>
      </c>
      <c r="C144" t="s">
        <v>16</v>
      </c>
      <c r="D144" t="s">
        <v>17</v>
      </c>
      <c r="E144" t="s">
        <v>35</v>
      </c>
      <c r="F144" t="s">
        <v>43</v>
      </c>
      <c r="G144" t="s">
        <v>20</v>
      </c>
      <c r="H144">
        <v>591512.11</v>
      </c>
      <c r="I144" t="s">
        <v>584</v>
      </c>
      <c r="K144" t="s">
        <v>585</v>
      </c>
      <c r="L144">
        <v>2.5</v>
      </c>
      <c r="M144">
        <v>30</v>
      </c>
      <c r="N144" t="s">
        <v>39</v>
      </c>
      <c r="O144">
        <v>52.4</v>
      </c>
    </row>
    <row r="145" spans="1:15" x14ac:dyDescent="0.3">
      <c r="A145" t="s">
        <v>586</v>
      </c>
      <c r="B145">
        <v>27</v>
      </c>
      <c r="C145" t="s">
        <v>33</v>
      </c>
      <c r="D145" t="s">
        <v>80</v>
      </c>
      <c r="E145" t="s">
        <v>93</v>
      </c>
      <c r="F145" t="s">
        <v>100</v>
      </c>
      <c r="G145" t="s">
        <v>101</v>
      </c>
      <c r="H145">
        <v>302746.87</v>
      </c>
      <c r="I145" t="s">
        <v>587</v>
      </c>
      <c r="J145" t="s">
        <v>588</v>
      </c>
      <c r="K145" t="s">
        <v>589</v>
      </c>
      <c r="L145">
        <v>6.3</v>
      </c>
      <c r="M145">
        <v>27</v>
      </c>
      <c r="N145" t="s">
        <v>53</v>
      </c>
      <c r="O145">
        <v>90.9</v>
      </c>
    </row>
    <row r="146" spans="1:15" x14ac:dyDescent="0.3">
      <c r="A146" t="s">
        <v>139</v>
      </c>
      <c r="B146">
        <v>50</v>
      </c>
      <c r="C146" t="s">
        <v>41</v>
      </c>
      <c r="E146" t="s">
        <v>35</v>
      </c>
      <c r="F146" t="s">
        <v>89</v>
      </c>
      <c r="G146" t="s">
        <v>20</v>
      </c>
      <c r="H146">
        <v>192116.63</v>
      </c>
      <c r="I146" t="s">
        <v>140</v>
      </c>
      <c r="J146" t="s">
        <v>590</v>
      </c>
      <c r="K146" t="s">
        <v>591</v>
      </c>
      <c r="L146">
        <v>4.7</v>
      </c>
      <c r="M146">
        <v>10</v>
      </c>
      <c r="N146" t="s">
        <v>53</v>
      </c>
      <c r="O146">
        <v>37.799999999999997</v>
      </c>
    </row>
    <row r="147" spans="1:15" x14ac:dyDescent="0.3">
      <c r="A147" t="s">
        <v>592</v>
      </c>
      <c r="B147">
        <v>55</v>
      </c>
      <c r="C147" t="s">
        <v>41</v>
      </c>
      <c r="D147" t="s">
        <v>55</v>
      </c>
      <c r="E147" t="s">
        <v>70</v>
      </c>
      <c r="F147" t="s">
        <v>19</v>
      </c>
      <c r="G147" t="s">
        <v>62</v>
      </c>
      <c r="H147">
        <v>661453.96</v>
      </c>
      <c r="I147" t="s">
        <v>399</v>
      </c>
      <c r="J147" t="s">
        <v>593</v>
      </c>
      <c r="K147" t="s">
        <v>594</v>
      </c>
      <c r="L147">
        <v>0</v>
      </c>
      <c r="M147">
        <v>8</v>
      </c>
      <c r="N147" t="s">
        <v>53</v>
      </c>
    </row>
    <row r="148" spans="1:15" x14ac:dyDescent="0.3">
      <c r="A148" t="s">
        <v>595</v>
      </c>
      <c r="B148">
        <v>43</v>
      </c>
      <c r="C148" t="s">
        <v>41</v>
      </c>
      <c r="D148" t="s">
        <v>99</v>
      </c>
      <c r="E148" t="s">
        <v>70</v>
      </c>
      <c r="F148" t="s">
        <v>116</v>
      </c>
      <c r="I148" t="s">
        <v>596</v>
      </c>
      <c r="J148" t="s">
        <v>597</v>
      </c>
      <c r="K148" t="s">
        <v>598</v>
      </c>
      <c r="L148">
        <v>7.9</v>
      </c>
      <c r="M148">
        <v>2</v>
      </c>
      <c r="N148" t="s">
        <v>53</v>
      </c>
      <c r="O148">
        <v>52.1</v>
      </c>
    </row>
    <row r="149" spans="1:15" x14ac:dyDescent="0.3">
      <c r="A149" t="s">
        <v>599</v>
      </c>
      <c r="B149">
        <v>42</v>
      </c>
      <c r="C149" t="s">
        <v>16</v>
      </c>
      <c r="D149" t="s">
        <v>17</v>
      </c>
      <c r="E149" t="s">
        <v>70</v>
      </c>
      <c r="F149" t="s">
        <v>49</v>
      </c>
      <c r="G149" t="s">
        <v>20</v>
      </c>
      <c r="I149" t="s">
        <v>600</v>
      </c>
      <c r="J149" t="s">
        <v>601</v>
      </c>
      <c r="K149" t="s">
        <v>602</v>
      </c>
      <c r="L149">
        <v>1.1000000000000001</v>
      </c>
      <c r="M149">
        <v>30</v>
      </c>
      <c r="N149" t="s">
        <v>78</v>
      </c>
      <c r="O149">
        <v>8.9</v>
      </c>
    </row>
    <row r="150" spans="1:15" x14ac:dyDescent="0.3">
      <c r="A150" t="s">
        <v>603</v>
      </c>
      <c r="B150">
        <v>43</v>
      </c>
      <c r="C150" t="s">
        <v>60</v>
      </c>
      <c r="D150" t="s">
        <v>121</v>
      </c>
      <c r="E150" t="s">
        <v>93</v>
      </c>
      <c r="F150" t="s">
        <v>19</v>
      </c>
      <c r="G150" t="s">
        <v>44</v>
      </c>
      <c r="H150">
        <v>530095.28</v>
      </c>
      <c r="I150" t="s">
        <v>604</v>
      </c>
      <c r="J150" t="s">
        <v>605</v>
      </c>
      <c r="K150" t="s">
        <v>606</v>
      </c>
      <c r="L150">
        <v>9.1</v>
      </c>
      <c r="M150">
        <v>18</v>
      </c>
      <c r="N150" t="s">
        <v>133</v>
      </c>
      <c r="O150">
        <v>18.7</v>
      </c>
    </row>
    <row r="151" spans="1:15" x14ac:dyDescent="0.3">
      <c r="A151" t="s">
        <v>607</v>
      </c>
      <c r="B151">
        <v>60</v>
      </c>
      <c r="C151" t="s">
        <v>26</v>
      </c>
      <c r="D151" t="s">
        <v>55</v>
      </c>
      <c r="E151" t="s">
        <v>48</v>
      </c>
      <c r="F151" t="s">
        <v>100</v>
      </c>
      <c r="H151">
        <v>129591.14</v>
      </c>
      <c r="I151" t="s">
        <v>608</v>
      </c>
      <c r="J151" t="s">
        <v>609</v>
      </c>
      <c r="K151" t="s">
        <v>610</v>
      </c>
      <c r="L151">
        <v>2.7</v>
      </c>
      <c r="M151">
        <v>9</v>
      </c>
      <c r="N151" t="s">
        <v>24</v>
      </c>
      <c r="O151">
        <v>32.200000000000003</v>
      </c>
    </row>
    <row r="152" spans="1:15" x14ac:dyDescent="0.3">
      <c r="A152" t="s">
        <v>611</v>
      </c>
      <c r="C152" t="s">
        <v>159</v>
      </c>
      <c r="D152" t="s">
        <v>129</v>
      </c>
      <c r="E152" t="s">
        <v>612</v>
      </c>
      <c r="F152" t="s">
        <v>89</v>
      </c>
      <c r="G152" t="s">
        <v>62</v>
      </c>
      <c r="I152" t="s">
        <v>213</v>
      </c>
      <c r="J152" t="s">
        <v>613</v>
      </c>
      <c r="K152" t="s">
        <v>614</v>
      </c>
      <c r="L152">
        <v>7.7</v>
      </c>
      <c r="M152">
        <v>3</v>
      </c>
      <c r="N152" t="s">
        <v>24</v>
      </c>
      <c r="O152">
        <v>73.400000000000006</v>
      </c>
    </row>
    <row r="153" spans="1:15" x14ac:dyDescent="0.3">
      <c r="A153" t="s">
        <v>615</v>
      </c>
      <c r="B153">
        <v>55</v>
      </c>
      <c r="C153" t="s">
        <v>159</v>
      </c>
      <c r="D153" t="s">
        <v>99</v>
      </c>
      <c r="E153" t="s">
        <v>70</v>
      </c>
      <c r="F153" t="s">
        <v>19</v>
      </c>
      <c r="G153" t="s">
        <v>62</v>
      </c>
      <c r="H153">
        <v>462795.96</v>
      </c>
      <c r="I153" t="s">
        <v>616</v>
      </c>
      <c r="J153" t="s">
        <v>22</v>
      </c>
      <c r="K153" t="s">
        <v>617</v>
      </c>
      <c r="L153">
        <v>4.5999999999999996</v>
      </c>
      <c r="M153">
        <v>28</v>
      </c>
      <c r="N153" t="s">
        <v>24</v>
      </c>
      <c r="O153">
        <v>99.7</v>
      </c>
    </row>
    <row r="154" spans="1:15" x14ac:dyDescent="0.3">
      <c r="A154" t="s">
        <v>618</v>
      </c>
      <c r="B154">
        <v>49</v>
      </c>
      <c r="D154" t="s">
        <v>121</v>
      </c>
      <c r="E154" t="s">
        <v>61</v>
      </c>
      <c r="F154" t="s">
        <v>27</v>
      </c>
      <c r="G154" t="s">
        <v>62</v>
      </c>
      <c r="H154">
        <v>253320.24</v>
      </c>
      <c r="I154" t="s">
        <v>619</v>
      </c>
      <c r="J154" t="s">
        <v>620</v>
      </c>
      <c r="K154" t="s">
        <v>621</v>
      </c>
      <c r="L154">
        <v>3.7</v>
      </c>
      <c r="M154">
        <v>1</v>
      </c>
      <c r="N154" t="s">
        <v>53</v>
      </c>
      <c r="O154">
        <v>91.9</v>
      </c>
    </row>
    <row r="155" spans="1:15" x14ac:dyDescent="0.3">
      <c r="A155" t="s">
        <v>622</v>
      </c>
      <c r="B155">
        <v>31</v>
      </c>
      <c r="C155" t="s">
        <v>159</v>
      </c>
      <c r="D155" t="s">
        <v>17</v>
      </c>
      <c r="E155" t="s">
        <v>88</v>
      </c>
      <c r="F155" t="s">
        <v>36</v>
      </c>
      <c r="G155" t="s">
        <v>28</v>
      </c>
      <c r="H155">
        <v>192397.12</v>
      </c>
      <c r="I155" t="s">
        <v>623</v>
      </c>
      <c r="J155" t="s">
        <v>624</v>
      </c>
      <c r="K155" t="s">
        <v>625</v>
      </c>
      <c r="L155">
        <v>6.4</v>
      </c>
      <c r="M155">
        <v>24</v>
      </c>
      <c r="N155" t="s">
        <v>39</v>
      </c>
      <c r="O155">
        <v>33.4</v>
      </c>
    </row>
    <row r="156" spans="1:15" x14ac:dyDescent="0.3">
      <c r="A156" t="s">
        <v>626</v>
      </c>
      <c r="B156">
        <v>36</v>
      </c>
      <c r="C156" t="s">
        <v>114</v>
      </c>
      <c r="D156" t="s">
        <v>76</v>
      </c>
      <c r="E156" t="s">
        <v>88</v>
      </c>
      <c r="F156" t="s">
        <v>43</v>
      </c>
      <c r="G156" t="s">
        <v>20</v>
      </c>
      <c r="H156">
        <v>748630.28</v>
      </c>
      <c r="I156" t="s">
        <v>627</v>
      </c>
      <c r="J156" t="s">
        <v>22</v>
      </c>
      <c r="L156">
        <v>4.9000000000000004</v>
      </c>
      <c r="M156">
        <v>21</v>
      </c>
      <c r="O156">
        <v>54.8</v>
      </c>
    </row>
    <row r="157" spans="1:15" x14ac:dyDescent="0.3">
      <c r="A157" t="s">
        <v>628</v>
      </c>
      <c r="B157">
        <v>30</v>
      </c>
      <c r="C157" t="s">
        <v>68</v>
      </c>
      <c r="D157" t="s">
        <v>99</v>
      </c>
      <c r="E157" t="s">
        <v>93</v>
      </c>
      <c r="F157" t="s">
        <v>89</v>
      </c>
      <c r="G157" t="s">
        <v>135</v>
      </c>
      <c r="H157">
        <v>222638.14</v>
      </c>
      <c r="I157" t="s">
        <v>399</v>
      </c>
      <c r="J157" t="s">
        <v>629</v>
      </c>
      <c r="K157" t="s">
        <v>630</v>
      </c>
      <c r="L157">
        <v>100</v>
      </c>
      <c r="M157">
        <v>22</v>
      </c>
      <c r="N157" t="s">
        <v>85</v>
      </c>
      <c r="O157">
        <v>14.6</v>
      </c>
    </row>
    <row r="158" spans="1:15" x14ac:dyDescent="0.3">
      <c r="A158" t="s">
        <v>631</v>
      </c>
      <c r="B158">
        <v>31</v>
      </c>
      <c r="C158" t="s">
        <v>26</v>
      </c>
      <c r="D158" t="s">
        <v>69</v>
      </c>
      <c r="E158" t="s">
        <v>70</v>
      </c>
      <c r="F158" t="s">
        <v>100</v>
      </c>
      <c r="G158" t="s">
        <v>62</v>
      </c>
      <c r="H158">
        <v>160907.65</v>
      </c>
      <c r="I158" t="s">
        <v>632</v>
      </c>
      <c r="J158" t="s">
        <v>633</v>
      </c>
      <c r="K158" t="s">
        <v>634</v>
      </c>
      <c r="L158">
        <v>7.8</v>
      </c>
      <c r="M158">
        <v>9</v>
      </c>
      <c r="N158" t="s">
        <v>53</v>
      </c>
    </row>
    <row r="159" spans="1:15" x14ac:dyDescent="0.3">
      <c r="A159" t="s">
        <v>635</v>
      </c>
      <c r="B159">
        <v>25</v>
      </c>
      <c r="C159" t="s">
        <v>114</v>
      </c>
      <c r="D159" t="s">
        <v>69</v>
      </c>
      <c r="E159" t="s">
        <v>612</v>
      </c>
      <c r="F159" t="s">
        <v>43</v>
      </c>
      <c r="G159" t="s">
        <v>135</v>
      </c>
      <c r="I159" t="s">
        <v>636</v>
      </c>
      <c r="K159" t="s">
        <v>637</v>
      </c>
      <c r="L159">
        <v>5.4</v>
      </c>
      <c r="M159">
        <v>12</v>
      </c>
      <c r="N159" t="s">
        <v>133</v>
      </c>
      <c r="O159">
        <v>71.2</v>
      </c>
    </row>
    <row r="160" spans="1:15" x14ac:dyDescent="0.3">
      <c r="A160" t="s">
        <v>631</v>
      </c>
      <c r="B160">
        <v>43</v>
      </c>
      <c r="C160" t="s">
        <v>16</v>
      </c>
      <c r="D160" t="s">
        <v>34</v>
      </c>
      <c r="E160" t="s">
        <v>18</v>
      </c>
      <c r="F160" t="s">
        <v>89</v>
      </c>
      <c r="H160">
        <v>93228</v>
      </c>
      <c r="I160" t="s">
        <v>632</v>
      </c>
      <c r="J160" t="s">
        <v>638</v>
      </c>
      <c r="K160" t="s">
        <v>639</v>
      </c>
      <c r="L160">
        <v>6.9</v>
      </c>
      <c r="M160">
        <v>14</v>
      </c>
      <c r="O160">
        <v>97.1</v>
      </c>
    </row>
    <row r="161" spans="1:15" x14ac:dyDescent="0.3">
      <c r="A161" t="s">
        <v>640</v>
      </c>
      <c r="B161">
        <v>30</v>
      </c>
      <c r="C161" t="s">
        <v>75</v>
      </c>
      <c r="D161" t="s">
        <v>115</v>
      </c>
      <c r="E161" t="s">
        <v>48</v>
      </c>
      <c r="F161" t="s">
        <v>43</v>
      </c>
      <c r="G161" t="s">
        <v>101</v>
      </c>
      <c r="H161">
        <v>469774.76</v>
      </c>
      <c r="I161" t="s">
        <v>641</v>
      </c>
      <c r="J161" t="s">
        <v>642</v>
      </c>
      <c r="K161" t="s">
        <v>643</v>
      </c>
      <c r="L161">
        <v>3.9</v>
      </c>
      <c r="M161">
        <v>20</v>
      </c>
      <c r="N161" t="s">
        <v>133</v>
      </c>
      <c r="O161">
        <v>30.3</v>
      </c>
    </row>
    <row r="162" spans="1:15" x14ac:dyDescent="0.3">
      <c r="A162" t="s">
        <v>644</v>
      </c>
      <c r="C162" t="s">
        <v>159</v>
      </c>
      <c r="D162" t="s">
        <v>115</v>
      </c>
      <c r="E162" t="s">
        <v>35</v>
      </c>
      <c r="F162" t="s">
        <v>109</v>
      </c>
      <c r="G162" t="s">
        <v>101</v>
      </c>
      <c r="H162">
        <v>789888.03</v>
      </c>
      <c r="I162" t="s">
        <v>184</v>
      </c>
      <c r="K162" t="s">
        <v>645</v>
      </c>
      <c r="L162">
        <v>2.5</v>
      </c>
      <c r="M162">
        <v>0</v>
      </c>
      <c r="N162" t="s">
        <v>133</v>
      </c>
      <c r="O162">
        <v>67.099999999999994</v>
      </c>
    </row>
    <row r="163" spans="1:15" x14ac:dyDescent="0.3">
      <c r="A163" t="s">
        <v>646</v>
      </c>
      <c r="B163">
        <v>53</v>
      </c>
      <c r="C163" t="s">
        <v>16</v>
      </c>
      <c r="D163" t="s">
        <v>69</v>
      </c>
      <c r="E163" t="s">
        <v>61</v>
      </c>
      <c r="F163" t="s">
        <v>94</v>
      </c>
      <c r="G163" t="s">
        <v>62</v>
      </c>
      <c r="H163">
        <v>719062.58</v>
      </c>
      <c r="I163" t="s">
        <v>647</v>
      </c>
      <c r="J163" t="s">
        <v>648</v>
      </c>
      <c r="K163" t="s">
        <v>649</v>
      </c>
      <c r="L163">
        <v>4.5</v>
      </c>
      <c r="M163">
        <v>12</v>
      </c>
      <c r="N163" t="s">
        <v>133</v>
      </c>
      <c r="O163">
        <v>77.400000000000006</v>
      </c>
    </row>
    <row r="164" spans="1:15" x14ac:dyDescent="0.3">
      <c r="A164" t="s">
        <v>650</v>
      </c>
      <c r="B164">
        <v>25</v>
      </c>
      <c r="C164" t="s">
        <v>60</v>
      </c>
      <c r="D164" t="s">
        <v>76</v>
      </c>
      <c r="E164" t="s">
        <v>398</v>
      </c>
      <c r="F164" t="s">
        <v>19</v>
      </c>
      <c r="G164" t="s">
        <v>28</v>
      </c>
      <c r="H164">
        <v>413776.85</v>
      </c>
      <c r="I164" t="s">
        <v>523</v>
      </c>
      <c r="J164" t="s">
        <v>651</v>
      </c>
      <c r="K164" t="s">
        <v>652</v>
      </c>
      <c r="L164">
        <v>1.8</v>
      </c>
      <c r="M164">
        <v>5</v>
      </c>
      <c r="N164" t="s">
        <v>133</v>
      </c>
      <c r="O164">
        <v>97.5</v>
      </c>
    </row>
    <row r="165" spans="1:15" x14ac:dyDescent="0.3">
      <c r="A165" t="s">
        <v>653</v>
      </c>
      <c r="B165">
        <v>24</v>
      </c>
      <c r="C165" t="s">
        <v>75</v>
      </c>
      <c r="D165" t="s">
        <v>654</v>
      </c>
      <c r="E165" t="s">
        <v>35</v>
      </c>
      <c r="F165" t="s">
        <v>94</v>
      </c>
      <c r="G165" t="s">
        <v>62</v>
      </c>
      <c r="H165">
        <v>487153.94</v>
      </c>
      <c r="I165" t="s">
        <v>655</v>
      </c>
      <c r="J165" t="s">
        <v>656</v>
      </c>
      <c r="K165" t="s">
        <v>657</v>
      </c>
      <c r="L165">
        <v>5.5</v>
      </c>
      <c r="M165">
        <v>31</v>
      </c>
      <c r="O165">
        <v>45.4</v>
      </c>
    </row>
    <row r="166" spans="1:15" x14ac:dyDescent="0.3">
      <c r="A166" t="s">
        <v>658</v>
      </c>
      <c r="B166">
        <v>37</v>
      </c>
      <c r="C166" t="s">
        <v>68</v>
      </c>
      <c r="D166" t="s">
        <v>99</v>
      </c>
      <c r="E166" t="s">
        <v>42</v>
      </c>
      <c r="F166" t="s">
        <v>27</v>
      </c>
      <c r="G166" t="s">
        <v>28</v>
      </c>
      <c r="H166">
        <v>532617.51</v>
      </c>
      <c r="I166" t="s">
        <v>659</v>
      </c>
      <c r="J166" t="s">
        <v>660</v>
      </c>
      <c r="K166" t="s">
        <v>661</v>
      </c>
      <c r="L166">
        <v>6.9</v>
      </c>
      <c r="M166">
        <v>35</v>
      </c>
      <c r="N166" t="s">
        <v>133</v>
      </c>
      <c r="O166">
        <v>36</v>
      </c>
    </row>
    <row r="167" spans="1:15" x14ac:dyDescent="0.3">
      <c r="A167" t="s">
        <v>662</v>
      </c>
      <c r="B167">
        <v>45</v>
      </c>
      <c r="C167" t="s">
        <v>68</v>
      </c>
      <c r="D167" t="s">
        <v>55</v>
      </c>
      <c r="E167" t="s">
        <v>88</v>
      </c>
      <c r="F167" t="s">
        <v>43</v>
      </c>
      <c r="G167" t="s">
        <v>62</v>
      </c>
      <c r="I167" t="s">
        <v>663</v>
      </c>
      <c r="J167" t="s">
        <v>664</v>
      </c>
      <c r="K167" t="s">
        <v>665</v>
      </c>
      <c r="L167">
        <v>7.5</v>
      </c>
      <c r="M167">
        <v>18</v>
      </c>
      <c r="N167" t="s">
        <v>85</v>
      </c>
      <c r="O167">
        <v>52.5</v>
      </c>
    </row>
    <row r="168" spans="1:15" x14ac:dyDescent="0.3">
      <c r="A168" t="s">
        <v>666</v>
      </c>
      <c r="B168">
        <v>58</v>
      </c>
      <c r="D168" t="s">
        <v>99</v>
      </c>
      <c r="E168" t="s">
        <v>70</v>
      </c>
      <c r="F168" t="s">
        <v>100</v>
      </c>
      <c r="G168" t="s">
        <v>20</v>
      </c>
      <c r="H168">
        <v>438373.6</v>
      </c>
      <c r="I168" t="s">
        <v>667</v>
      </c>
      <c r="J168" t="s">
        <v>668</v>
      </c>
      <c r="K168" t="s">
        <v>669</v>
      </c>
      <c r="L168">
        <v>1.1000000000000001</v>
      </c>
      <c r="M168">
        <v>4</v>
      </c>
      <c r="O168">
        <v>76.7</v>
      </c>
    </row>
    <row r="169" spans="1:15" x14ac:dyDescent="0.3">
      <c r="A169" t="s">
        <v>195</v>
      </c>
      <c r="C169" t="s">
        <v>26</v>
      </c>
      <c r="D169" t="s">
        <v>76</v>
      </c>
      <c r="E169" t="s">
        <v>35</v>
      </c>
      <c r="F169" t="s">
        <v>94</v>
      </c>
      <c r="G169" t="s">
        <v>62</v>
      </c>
      <c r="H169">
        <v>206452.94</v>
      </c>
      <c r="I169" t="s">
        <v>196</v>
      </c>
      <c r="K169" t="s">
        <v>670</v>
      </c>
      <c r="L169">
        <v>3.7</v>
      </c>
      <c r="O169">
        <v>80</v>
      </c>
    </row>
    <row r="170" spans="1:15" x14ac:dyDescent="0.3">
      <c r="A170" t="s">
        <v>671</v>
      </c>
      <c r="B170">
        <v>39</v>
      </c>
      <c r="C170" t="s">
        <v>68</v>
      </c>
      <c r="D170" t="s">
        <v>76</v>
      </c>
      <c r="E170" t="s">
        <v>93</v>
      </c>
      <c r="F170" t="s">
        <v>27</v>
      </c>
      <c r="G170" t="s">
        <v>20</v>
      </c>
      <c r="H170">
        <v>350173.36</v>
      </c>
      <c r="I170" t="s">
        <v>672</v>
      </c>
      <c r="J170" t="s">
        <v>673</v>
      </c>
      <c r="K170" t="s">
        <v>674</v>
      </c>
      <c r="L170">
        <v>5.7</v>
      </c>
      <c r="M170">
        <v>2</v>
      </c>
      <c r="N170" t="s">
        <v>39</v>
      </c>
      <c r="O170">
        <v>2.5</v>
      </c>
    </row>
    <row r="171" spans="1:15" x14ac:dyDescent="0.3">
      <c r="A171" t="s">
        <v>271</v>
      </c>
      <c r="B171">
        <v>52</v>
      </c>
      <c r="D171" t="s">
        <v>129</v>
      </c>
      <c r="E171" t="s">
        <v>612</v>
      </c>
      <c r="F171" t="s">
        <v>43</v>
      </c>
      <c r="G171" t="s">
        <v>62</v>
      </c>
      <c r="H171">
        <v>638383.91</v>
      </c>
      <c r="I171" t="s">
        <v>272</v>
      </c>
      <c r="J171" t="s">
        <v>675</v>
      </c>
      <c r="K171" t="s">
        <v>676</v>
      </c>
      <c r="M171">
        <v>19</v>
      </c>
      <c r="N171" t="s">
        <v>78</v>
      </c>
      <c r="O171">
        <v>19.3</v>
      </c>
    </row>
    <row r="172" spans="1:15" x14ac:dyDescent="0.3">
      <c r="A172" t="s">
        <v>677</v>
      </c>
      <c r="B172">
        <v>29</v>
      </c>
      <c r="C172" t="s">
        <v>41</v>
      </c>
      <c r="D172" t="s">
        <v>55</v>
      </c>
      <c r="E172" t="s">
        <v>42</v>
      </c>
      <c r="F172" t="s">
        <v>94</v>
      </c>
      <c r="G172" t="s">
        <v>101</v>
      </c>
      <c r="H172">
        <v>162411.48000000001</v>
      </c>
      <c r="I172" t="s">
        <v>678</v>
      </c>
      <c r="J172" t="s">
        <v>679</v>
      </c>
      <c r="K172" t="s">
        <v>680</v>
      </c>
      <c r="L172">
        <v>1.3</v>
      </c>
      <c r="M172">
        <v>24</v>
      </c>
      <c r="N172" t="s">
        <v>133</v>
      </c>
      <c r="O172">
        <v>70.5</v>
      </c>
    </row>
    <row r="173" spans="1:15" x14ac:dyDescent="0.3">
      <c r="A173" t="s">
        <v>569</v>
      </c>
      <c r="B173">
        <v>50</v>
      </c>
      <c r="C173" t="s">
        <v>159</v>
      </c>
      <c r="D173" t="s">
        <v>76</v>
      </c>
      <c r="E173" t="s">
        <v>35</v>
      </c>
      <c r="F173" t="s">
        <v>36</v>
      </c>
      <c r="G173" t="s">
        <v>44</v>
      </c>
      <c r="H173">
        <v>668558.22</v>
      </c>
      <c r="I173" t="s">
        <v>570</v>
      </c>
      <c r="J173" t="s">
        <v>22</v>
      </c>
      <c r="K173" t="s">
        <v>681</v>
      </c>
      <c r="L173">
        <v>9.1999999999999993</v>
      </c>
      <c r="M173">
        <v>21</v>
      </c>
      <c r="N173" t="s">
        <v>24</v>
      </c>
      <c r="O173">
        <v>3</v>
      </c>
    </row>
    <row r="174" spans="1:15" x14ac:dyDescent="0.3">
      <c r="A174" t="s">
        <v>682</v>
      </c>
      <c r="B174">
        <v>32</v>
      </c>
      <c r="C174" t="s">
        <v>60</v>
      </c>
      <c r="D174" t="s">
        <v>34</v>
      </c>
      <c r="E174" t="s">
        <v>18</v>
      </c>
      <c r="F174" t="s">
        <v>43</v>
      </c>
      <c r="G174" t="s">
        <v>135</v>
      </c>
      <c r="H174">
        <v>493768.35</v>
      </c>
      <c r="J174" t="s">
        <v>683</v>
      </c>
      <c r="K174" t="s">
        <v>684</v>
      </c>
      <c r="L174">
        <v>2.9</v>
      </c>
      <c r="M174">
        <v>27</v>
      </c>
      <c r="N174" t="s">
        <v>24</v>
      </c>
      <c r="O174">
        <v>23.6</v>
      </c>
    </row>
    <row r="175" spans="1:15" x14ac:dyDescent="0.3">
      <c r="A175" t="s">
        <v>203</v>
      </c>
      <c r="B175">
        <v>58</v>
      </c>
      <c r="C175" t="s">
        <v>16</v>
      </c>
      <c r="D175" t="s">
        <v>129</v>
      </c>
      <c r="E175" t="s">
        <v>18</v>
      </c>
      <c r="F175" t="s">
        <v>36</v>
      </c>
      <c r="G175" t="s">
        <v>62</v>
      </c>
      <c r="I175" t="s">
        <v>204</v>
      </c>
      <c r="J175" t="s">
        <v>22</v>
      </c>
      <c r="K175" t="s">
        <v>685</v>
      </c>
      <c r="L175">
        <v>7.8</v>
      </c>
      <c r="M175">
        <v>18</v>
      </c>
      <c r="O175">
        <v>20.6</v>
      </c>
    </row>
    <row r="176" spans="1:15" x14ac:dyDescent="0.3">
      <c r="A176" t="s">
        <v>686</v>
      </c>
      <c r="B176">
        <v>41</v>
      </c>
      <c r="C176" t="s">
        <v>16</v>
      </c>
      <c r="D176" t="s">
        <v>121</v>
      </c>
      <c r="E176" t="s">
        <v>61</v>
      </c>
      <c r="F176" t="s">
        <v>89</v>
      </c>
      <c r="G176" t="s">
        <v>28</v>
      </c>
      <c r="H176">
        <v>596809.68000000005</v>
      </c>
      <c r="I176" t="s">
        <v>687</v>
      </c>
      <c r="J176" t="s">
        <v>688</v>
      </c>
      <c r="K176" t="s">
        <v>689</v>
      </c>
      <c r="L176">
        <v>8.8000000000000007</v>
      </c>
      <c r="M176">
        <v>25</v>
      </c>
      <c r="N176" t="s">
        <v>53</v>
      </c>
      <c r="O176">
        <v>38.200000000000003</v>
      </c>
    </row>
    <row r="177" spans="1:15" x14ac:dyDescent="0.3">
      <c r="A177" t="s">
        <v>690</v>
      </c>
      <c r="B177">
        <v>30</v>
      </c>
      <c r="C177" t="s">
        <v>114</v>
      </c>
      <c r="D177" t="s">
        <v>17</v>
      </c>
      <c r="E177" t="s">
        <v>48</v>
      </c>
      <c r="F177" t="s">
        <v>49</v>
      </c>
      <c r="G177" t="s">
        <v>62</v>
      </c>
      <c r="H177">
        <v>745627.07</v>
      </c>
      <c r="I177" t="s">
        <v>691</v>
      </c>
      <c r="J177" t="s">
        <v>692</v>
      </c>
      <c r="K177" t="s">
        <v>693</v>
      </c>
      <c r="L177">
        <v>9</v>
      </c>
      <c r="M177">
        <v>11</v>
      </c>
      <c r="N177" t="s">
        <v>133</v>
      </c>
      <c r="O177">
        <v>45</v>
      </c>
    </row>
    <row r="178" spans="1:15" x14ac:dyDescent="0.3">
      <c r="A178" t="s">
        <v>694</v>
      </c>
      <c r="B178">
        <v>22</v>
      </c>
      <c r="C178" t="s">
        <v>68</v>
      </c>
      <c r="D178" t="s">
        <v>17</v>
      </c>
      <c r="E178" t="s">
        <v>70</v>
      </c>
      <c r="F178" t="s">
        <v>27</v>
      </c>
      <c r="G178" t="s">
        <v>62</v>
      </c>
      <c r="H178">
        <v>250459.98</v>
      </c>
      <c r="I178" t="s">
        <v>695</v>
      </c>
      <c r="J178" t="s">
        <v>22</v>
      </c>
      <c r="K178" t="s">
        <v>696</v>
      </c>
      <c r="L178">
        <v>5.7</v>
      </c>
      <c r="M178">
        <v>15</v>
      </c>
      <c r="N178" t="s">
        <v>53</v>
      </c>
      <c r="O178">
        <v>66.900000000000006</v>
      </c>
    </row>
    <row r="179" spans="1:15" x14ac:dyDescent="0.3">
      <c r="A179" t="s">
        <v>697</v>
      </c>
      <c r="B179">
        <v>25</v>
      </c>
      <c r="C179" t="s">
        <v>41</v>
      </c>
      <c r="D179" t="s">
        <v>55</v>
      </c>
      <c r="E179" t="s">
        <v>61</v>
      </c>
      <c r="F179" t="s">
        <v>36</v>
      </c>
      <c r="G179" t="s">
        <v>101</v>
      </c>
      <c r="H179">
        <v>87764.05</v>
      </c>
      <c r="I179" t="s">
        <v>698</v>
      </c>
      <c r="J179" t="s">
        <v>699</v>
      </c>
      <c r="K179" t="s">
        <v>700</v>
      </c>
      <c r="L179">
        <v>6.2</v>
      </c>
      <c r="M179">
        <v>1</v>
      </c>
      <c r="N179" t="s">
        <v>39</v>
      </c>
      <c r="O179">
        <v>7.7</v>
      </c>
    </row>
    <row r="180" spans="1:15" x14ac:dyDescent="0.3">
      <c r="A180" t="s">
        <v>701</v>
      </c>
      <c r="B180">
        <v>39</v>
      </c>
      <c r="C180" t="s">
        <v>16</v>
      </c>
      <c r="D180" t="s">
        <v>115</v>
      </c>
      <c r="E180" t="s">
        <v>88</v>
      </c>
      <c r="F180" t="s">
        <v>36</v>
      </c>
      <c r="G180" t="s">
        <v>101</v>
      </c>
      <c r="H180">
        <v>613829</v>
      </c>
      <c r="I180" t="s">
        <v>702</v>
      </c>
      <c r="J180" t="s">
        <v>703</v>
      </c>
      <c r="K180" t="s">
        <v>704</v>
      </c>
      <c r="L180">
        <v>8.5</v>
      </c>
      <c r="M180">
        <v>24</v>
      </c>
      <c r="N180" t="s">
        <v>133</v>
      </c>
      <c r="O180">
        <v>16.7</v>
      </c>
    </row>
    <row r="181" spans="1:15" x14ac:dyDescent="0.3">
      <c r="A181" t="s">
        <v>705</v>
      </c>
      <c r="B181">
        <v>29</v>
      </c>
      <c r="C181" t="s">
        <v>114</v>
      </c>
      <c r="D181" t="s">
        <v>115</v>
      </c>
      <c r="E181" t="s">
        <v>61</v>
      </c>
      <c r="F181" t="s">
        <v>94</v>
      </c>
      <c r="G181" t="s">
        <v>28</v>
      </c>
      <c r="H181">
        <v>422887</v>
      </c>
      <c r="I181" t="s">
        <v>706</v>
      </c>
      <c r="J181" t="s">
        <v>707</v>
      </c>
      <c r="K181" t="s">
        <v>708</v>
      </c>
      <c r="L181">
        <v>9.3000000000000007</v>
      </c>
      <c r="M181">
        <v>27</v>
      </c>
      <c r="N181" t="s">
        <v>53</v>
      </c>
      <c r="O181">
        <v>33.5</v>
      </c>
    </row>
    <row r="182" spans="1:15" x14ac:dyDescent="0.3">
      <c r="A182" t="s">
        <v>709</v>
      </c>
      <c r="B182">
        <v>47</v>
      </c>
      <c r="C182" t="s">
        <v>68</v>
      </c>
      <c r="D182" t="s">
        <v>76</v>
      </c>
      <c r="E182" t="s">
        <v>612</v>
      </c>
      <c r="F182" t="s">
        <v>27</v>
      </c>
      <c r="G182" t="s">
        <v>20</v>
      </c>
      <c r="H182">
        <v>254093.82</v>
      </c>
      <c r="I182" t="s">
        <v>710</v>
      </c>
      <c r="J182" t="s">
        <v>711</v>
      </c>
      <c r="K182" t="s">
        <v>712</v>
      </c>
      <c r="L182">
        <v>1.3</v>
      </c>
      <c r="M182">
        <v>13</v>
      </c>
      <c r="N182" t="s">
        <v>53</v>
      </c>
      <c r="O182">
        <v>95.8</v>
      </c>
    </row>
    <row r="183" spans="1:15" x14ac:dyDescent="0.3">
      <c r="A183" t="s">
        <v>713</v>
      </c>
      <c r="B183">
        <v>58</v>
      </c>
      <c r="C183" t="s">
        <v>41</v>
      </c>
      <c r="D183" t="s">
        <v>121</v>
      </c>
      <c r="E183" t="s">
        <v>93</v>
      </c>
      <c r="F183" t="s">
        <v>94</v>
      </c>
      <c r="G183" t="s">
        <v>44</v>
      </c>
      <c r="H183">
        <v>159808.46</v>
      </c>
      <c r="J183" t="s">
        <v>714</v>
      </c>
      <c r="K183" t="s">
        <v>715</v>
      </c>
      <c r="L183">
        <v>9.6</v>
      </c>
      <c r="M183">
        <v>31</v>
      </c>
      <c r="N183" t="s">
        <v>78</v>
      </c>
      <c r="O183">
        <v>17.8</v>
      </c>
    </row>
    <row r="184" spans="1:15" x14ac:dyDescent="0.3">
      <c r="A184" t="s">
        <v>682</v>
      </c>
      <c r="B184">
        <v>35</v>
      </c>
      <c r="C184" t="s">
        <v>41</v>
      </c>
      <c r="D184" t="s">
        <v>17</v>
      </c>
      <c r="E184" t="s">
        <v>61</v>
      </c>
      <c r="F184" t="s">
        <v>36</v>
      </c>
      <c r="G184" t="s">
        <v>62</v>
      </c>
      <c r="H184">
        <v>397938.83</v>
      </c>
      <c r="I184" t="s">
        <v>716</v>
      </c>
      <c r="J184" t="s">
        <v>717</v>
      </c>
      <c r="K184" t="s">
        <v>718</v>
      </c>
      <c r="L184">
        <v>5.6</v>
      </c>
      <c r="M184">
        <v>27</v>
      </c>
      <c r="N184" t="s">
        <v>53</v>
      </c>
      <c r="O184">
        <v>78.5</v>
      </c>
    </row>
    <row r="185" spans="1:15" x14ac:dyDescent="0.3">
      <c r="A185" t="s">
        <v>719</v>
      </c>
      <c r="B185">
        <v>52</v>
      </c>
      <c r="C185" t="s">
        <v>41</v>
      </c>
      <c r="D185" t="s">
        <v>69</v>
      </c>
      <c r="E185" t="s">
        <v>93</v>
      </c>
      <c r="F185" t="s">
        <v>49</v>
      </c>
      <c r="G185" t="s">
        <v>20</v>
      </c>
      <c r="H185">
        <v>793952.99</v>
      </c>
      <c r="I185" t="s">
        <v>37</v>
      </c>
      <c r="J185" t="s">
        <v>720</v>
      </c>
      <c r="K185" t="s">
        <v>721</v>
      </c>
      <c r="L185">
        <v>3.7</v>
      </c>
      <c r="M185">
        <v>22</v>
      </c>
      <c r="N185" t="s">
        <v>53</v>
      </c>
      <c r="O185">
        <v>18.899999999999999</v>
      </c>
    </row>
    <row r="186" spans="1:15" x14ac:dyDescent="0.3">
      <c r="A186" t="s">
        <v>722</v>
      </c>
      <c r="B186">
        <v>37</v>
      </c>
      <c r="C186" t="s">
        <v>33</v>
      </c>
      <c r="D186" t="s">
        <v>76</v>
      </c>
      <c r="E186" t="s">
        <v>61</v>
      </c>
      <c r="F186" t="s">
        <v>100</v>
      </c>
      <c r="G186" t="s">
        <v>101</v>
      </c>
      <c r="H186">
        <v>469197.47</v>
      </c>
      <c r="I186" t="s">
        <v>508</v>
      </c>
      <c r="J186" t="s">
        <v>723</v>
      </c>
      <c r="K186" t="s">
        <v>724</v>
      </c>
      <c r="L186">
        <v>7.7</v>
      </c>
      <c r="M186">
        <v>9</v>
      </c>
      <c r="N186" t="s">
        <v>39</v>
      </c>
      <c r="O186">
        <v>91.8</v>
      </c>
    </row>
    <row r="187" spans="1:15" x14ac:dyDescent="0.3">
      <c r="A187" t="s">
        <v>725</v>
      </c>
      <c r="C187" t="s">
        <v>26</v>
      </c>
      <c r="D187" t="s">
        <v>99</v>
      </c>
      <c r="E187" t="s">
        <v>88</v>
      </c>
      <c r="F187" t="s">
        <v>36</v>
      </c>
      <c r="G187" t="s">
        <v>62</v>
      </c>
      <c r="H187">
        <v>301282.88</v>
      </c>
      <c r="I187" t="s">
        <v>632</v>
      </c>
      <c r="J187" t="s">
        <v>726</v>
      </c>
      <c r="K187" t="s">
        <v>727</v>
      </c>
      <c r="L187">
        <v>2.2000000000000002</v>
      </c>
      <c r="M187">
        <v>2</v>
      </c>
      <c r="N187" t="s">
        <v>24</v>
      </c>
      <c r="O187">
        <v>27.4</v>
      </c>
    </row>
    <row r="188" spans="1:15" x14ac:dyDescent="0.3">
      <c r="A188" t="s">
        <v>728</v>
      </c>
      <c r="B188">
        <v>57</v>
      </c>
      <c r="D188" t="s">
        <v>80</v>
      </c>
      <c r="E188" t="s">
        <v>48</v>
      </c>
      <c r="F188" t="s">
        <v>109</v>
      </c>
      <c r="G188" t="s">
        <v>101</v>
      </c>
      <c r="H188">
        <v>499029.78</v>
      </c>
      <c r="I188" t="s">
        <v>729</v>
      </c>
      <c r="J188" t="s">
        <v>730</v>
      </c>
      <c r="K188" t="s">
        <v>731</v>
      </c>
      <c r="L188">
        <v>2.9</v>
      </c>
      <c r="M188">
        <v>26</v>
      </c>
      <c r="N188" t="s">
        <v>78</v>
      </c>
      <c r="O188">
        <v>3.8</v>
      </c>
    </row>
    <row r="189" spans="1:15" x14ac:dyDescent="0.3">
      <c r="A189" t="s">
        <v>732</v>
      </c>
      <c r="C189" t="s">
        <v>75</v>
      </c>
      <c r="D189" t="s">
        <v>76</v>
      </c>
      <c r="E189" t="s">
        <v>88</v>
      </c>
      <c r="F189" t="s">
        <v>94</v>
      </c>
      <c r="G189" t="s">
        <v>62</v>
      </c>
      <c r="H189">
        <v>249660.09</v>
      </c>
      <c r="I189" t="s">
        <v>604</v>
      </c>
      <c r="J189" t="s">
        <v>22</v>
      </c>
      <c r="K189" t="s">
        <v>733</v>
      </c>
      <c r="L189">
        <v>6.8</v>
      </c>
      <c r="M189">
        <v>21</v>
      </c>
      <c r="N189" t="s">
        <v>85</v>
      </c>
      <c r="O189">
        <v>10.4</v>
      </c>
    </row>
    <row r="190" spans="1:15" x14ac:dyDescent="0.3">
      <c r="A190" t="s">
        <v>734</v>
      </c>
      <c r="B190">
        <v>53</v>
      </c>
      <c r="C190" t="s">
        <v>60</v>
      </c>
      <c r="D190" t="s">
        <v>99</v>
      </c>
      <c r="E190" t="s">
        <v>70</v>
      </c>
      <c r="F190" t="s">
        <v>36</v>
      </c>
      <c r="G190" t="s">
        <v>62</v>
      </c>
      <c r="H190">
        <v>249415.88</v>
      </c>
      <c r="I190" t="s">
        <v>735</v>
      </c>
      <c r="J190" t="s">
        <v>736</v>
      </c>
      <c r="K190" t="s">
        <v>737</v>
      </c>
      <c r="L190">
        <v>1.5</v>
      </c>
      <c r="M190">
        <v>29</v>
      </c>
      <c r="N190" t="s">
        <v>24</v>
      </c>
      <c r="O190">
        <v>72</v>
      </c>
    </row>
    <row r="191" spans="1:15" x14ac:dyDescent="0.3">
      <c r="A191" t="s">
        <v>738</v>
      </c>
      <c r="B191">
        <v>43</v>
      </c>
      <c r="C191" t="s">
        <v>60</v>
      </c>
      <c r="D191" t="s">
        <v>129</v>
      </c>
      <c r="E191" t="s">
        <v>48</v>
      </c>
      <c r="F191" t="s">
        <v>116</v>
      </c>
      <c r="G191" t="s">
        <v>28</v>
      </c>
      <c r="H191">
        <v>122949.24</v>
      </c>
      <c r="I191" t="s">
        <v>739</v>
      </c>
      <c r="J191" t="s">
        <v>740</v>
      </c>
      <c r="K191" t="s">
        <v>741</v>
      </c>
      <c r="M191">
        <v>27</v>
      </c>
      <c r="N191" t="s">
        <v>78</v>
      </c>
      <c r="O191">
        <v>43.4</v>
      </c>
    </row>
    <row r="192" spans="1:15" x14ac:dyDescent="0.3">
      <c r="A192" t="s">
        <v>573</v>
      </c>
      <c r="C192" t="s">
        <v>60</v>
      </c>
      <c r="D192" t="s">
        <v>17</v>
      </c>
      <c r="E192" t="s">
        <v>61</v>
      </c>
      <c r="F192" t="s">
        <v>43</v>
      </c>
      <c r="G192" t="s">
        <v>62</v>
      </c>
      <c r="H192">
        <v>793716.92</v>
      </c>
      <c r="I192" t="s">
        <v>574</v>
      </c>
      <c r="J192" t="s">
        <v>742</v>
      </c>
      <c r="K192" t="s">
        <v>743</v>
      </c>
      <c r="L192">
        <v>5.3</v>
      </c>
      <c r="M192">
        <v>1</v>
      </c>
      <c r="N192" t="s">
        <v>133</v>
      </c>
      <c r="O192">
        <v>87.4</v>
      </c>
    </row>
    <row r="193" spans="1:15" x14ac:dyDescent="0.3">
      <c r="A193" t="s">
        <v>744</v>
      </c>
      <c r="C193" t="s">
        <v>26</v>
      </c>
      <c r="D193" t="s">
        <v>121</v>
      </c>
      <c r="E193" t="s">
        <v>88</v>
      </c>
      <c r="F193" t="s">
        <v>89</v>
      </c>
      <c r="G193" t="s">
        <v>62</v>
      </c>
      <c r="H193">
        <v>531659.62</v>
      </c>
      <c r="I193" t="s">
        <v>745</v>
      </c>
      <c r="K193" t="s">
        <v>746</v>
      </c>
      <c r="L193">
        <v>2</v>
      </c>
      <c r="M193">
        <v>23</v>
      </c>
      <c r="N193" t="s">
        <v>53</v>
      </c>
      <c r="O193">
        <v>6.7</v>
      </c>
    </row>
    <row r="194" spans="1:15" x14ac:dyDescent="0.3">
      <c r="A194" t="s">
        <v>747</v>
      </c>
      <c r="B194">
        <v>37</v>
      </c>
      <c r="C194" t="s">
        <v>26</v>
      </c>
      <c r="D194" t="s">
        <v>76</v>
      </c>
      <c r="E194" t="s">
        <v>18</v>
      </c>
      <c r="F194" t="s">
        <v>43</v>
      </c>
      <c r="G194" t="s">
        <v>62</v>
      </c>
      <c r="H194">
        <v>610913.65</v>
      </c>
      <c r="I194" t="s">
        <v>748</v>
      </c>
      <c r="J194" t="s">
        <v>749</v>
      </c>
      <c r="K194" t="s">
        <v>750</v>
      </c>
      <c r="L194">
        <v>7.4</v>
      </c>
      <c r="M194">
        <v>18</v>
      </c>
      <c r="N194" t="s">
        <v>24</v>
      </c>
      <c r="O194">
        <v>94.5</v>
      </c>
    </row>
    <row r="195" spans="1:15" x14ac:dyDescent="0.3">
      <c r="A195" t="s">
        <v>751</v>
      </c>
      <c r="B195">
        <v>27</v>
      </c>
      <c r="C195" t="s">
        <v>33</v>
      </c>
      <c r="D195" t="s">
        <v>17</v>
      </c>
      <c r="E195" t="s">
        <v>61</v>
      </c>
      <c r="F195" t="s">
        <v>94</v>
      </c>
      <c r="G195" t="s">
        <v>44</v>
      </c>
      <c r="H195" t="s">
        <v>752</v>
      </c>
      <c r="I195" t="s">
        <v>357</v>
      </c>
      <c r="J195" t="s">
        <v>753</v>
      </c>
      <c r="K195" t="s">
        <v>754</v>
      </c>
      <c r="L195">
        <v>11</v>
      </c>
      <c r="M195">
        <v>33</v>
      </c>
      <c r="N195" t="s">
        <v>133</v>
      </c>
      <c r="O195">
        <v>65.599999999999994</v>
      </c>
    </row>
    <row r="196" spans="1:15" x14ac:dyDescent="0.3">
      <c r="A196" t="s">
        <v>224</v>
      </c>
      <c r="B196">
        <v>55</v>
      </c>
      <c r="C196" t="s">
        <v>75</v>
      </c>
      <c r="D196" t="s">
        <v>55</v>
      </c>
      <c r="E196" t="s">
        <v>61</v>
      </c>
      <c r="F196" t="s">
        <v>27</v>
      </c>
      <c r="G196" t="s">
        <v>101</v>
      </c>
      <c r="H196">
        <v>298939.28000000003</v>
      </c>
      <c r="I196" t="s">
        <v>225</v>
      </c>
      <c r="J196" t="s">
        <v>755</v>
      </c>
      <c r="K196" t="s">
        <v>756</v>
      </c>
      <c r="L196">
        <v>9.8000000000000007</v>
      </c>
      <c r="M196">
        <v>9</v>
      </c>
      <c r="N196" t="s">
        <v>39</v>
      </c>
    </row>
    <row r="197" spans="1:15" x14ac:dyDescent="0.3">
      <c r="A197" t="s">
        <v>757</v>
      </c>
      <c r="B197">
        <v>45</v>
      </c>
      <c r="C197" t="s">
        <v>159</v>
      </c>
      <c r="D197" t="s">
        <v>115</v>
      </c>
      <c r="E197" t="s">
        <v>18</v>
      </c>
      <c r="F197" t="s">
        <v>100</v>
      </c>
      <c r="G197" t="s">
        <v>62</v>
      </c>
      <c r="H197">
        <v>104976.14</v>
      </c>
      <c r="I197" t="s">
        <v>758</v>
      </c>
      <c r="J197" t="s">
        <v>22</v>
      </c>
      <c r="K197" t="s">
        <v>759</v>
      </c>
      <c r="L197">
        <v>4</v>
      </c>
      <c r="M197">
        <v>18</v>
      </c>
      <c r="N197" t="s">
        <v>85</v>
      </c>
      <c r="O197">
        <v>57.4</v>
      </c>
    </row>
    <row r="198" spans="1:15" x14ac:dyDescent="0.3">
      <c r="A198" t="s">
        <v>760</v>
      </c>
      <c r="B198">
        <v>43</v>
      </c>
      <c r="C198" t="s">
        <v>41</v>
      </c>
      <c r="D198" t="s">
        <v>654</v>
      </c>
      <c r="E198" t="s">
        <v>88</v>
      </c>
      <c r="F198" t="s">
        <v>109</v>
      </c>
      <c r="G198" t="s">
        <v>28</v>
      </c>
      <c r="H198">
        <v>728125.62</v>
      </c>
      <c r="I198" t="s">
        <v>530</v>
      </c>
      <c r="J198" t="s">
        <v>761</v>
      </c>
      <c r="K198" t="s">
        <v>762</v>
      </c>
      <c r="L198">
        <v>9.8000000000000007</v>
      </c>
      <c r="M198">
        <v>32</v>
      </c>
      <c r="N198" t="s">
        <v>53</v>
      </c>
      <c r="O198">
        <v>14.8</v>
      </c>
    </row>
    <row r="199" spans="1:15" x14ac:dyDescent="0.3">
      <c r="A199" t="s">
        <v>763</v>
      </c>
      <c r="B199">
        <v>22</v>
      </c>
      <c r="D199" t="s">
        <v>55</v>
      </c>
      <c r="E199" t="s">
        <v>18</v>
      </c>
      <c r="F199" t="s">
        <v>109</v>
      </c>
      <c r="G199" t="s">
        <v>62</v>
      </c>
      <c r="I199" t="s">
        <v>764</v>
      </c>
      <c r="J199" t="s">
        <v>765</v>
      </c>
      <c r="K199" t="s">
        <v>766</v>
      </c>
      <c r="L199">
        <v>9.9</v>
      </c>
      <c r="M199">
        <v>24</v>
      </c>
      <c r="N199" t="s">
        <v>133</v>
      </c>
      <c r="O199">
        <v>27.3</v>
      </c>
    </row>
    <row r="200" spans="1:15" x14ac:dyDescent="0.3">
      <c r="A200" t="s">
        <v>767</v>
      </c>
      <c r="B200">
        <v>30</v>
      </c>
      <c r="C200" t="s">
        <v>159</v>
      </c>
      <c r="D200" t="s">
        <v>129</v>
      </c>
      <c r="E200" t="s">
        <v>61</v>
      </c>
      <c r="F200" t="s">
        <v>49</v>
      </c>
      <c r="G200" t="s">
        <v>101</v>
      </c>
      <c r="H200">
        <v>288413.48</v>
      </c>
      <c r="I200" t="s">
        <v>471</v>
      </c>
      <c r="J200" t="s">
        <v>22</v>
      </c>
      <c r="K200" t="s">
        <v>768</v>
      </c>
      <c r="L200">
        <v>5.4</v>
      </c>
      <c r="M200">
        <v>7</v>
      </c>
      <c r="N200" t="s">
        <v>133</v>
      </c>
      <c r="O200">
        <v>6.7</v>
      </c>
    </row>
    <row r="201" spans="1:15" x14ac:dyDescent="0.3">
      <c r="A201" t="s">
        <v>769</v>
      </c>
      <c r="B201">
        <v>49</v>
      </c>
      <c r="C201" t="s">
        <v>26</v>
      </c>
      <c r="D201" t="s">
        <v>99</v>
      </c>
      <c r="E201" t="s">
        <v>48</v>
      </c>
      <c r="F201" t="s">
        <v>94</v>
      </c>
      <c r="G201" t="s">
        <v>44</v>
      </c>
      <c r="H201">
        <v>422749.31</v>
      </c>
      <c r="I201" t="s">
        <v>770</v>
      </c>
      <c r="J201" t="s">
        <v>22</v>
      </c>
      <c r="K201" t="s">
        <v>771</v>
      </c>
      <c r="L201">
        <v>3.6</v>
      </c>
      <c r="M201">
        <v>12</v>
      </c>
      <c r="N201" t="s">
        <v>78</v>
      </c>
      <c r="O201">
        <v>59.9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C14" sqref="C14"/>
    </sheetView>
  </sheetViews>
  <sheetFormatPr defaultRowHeight="14.4" x14ac:dyDescent="0.3"/>
  <cols>
    <col min="1" max="1" width="28.77734375" bestFit="1" customWidth="1"/>
    <col min="2" max="2" width="64.44140625" bestFit="1" customWidth="1"/>
    <col min="3" max="3" width="58.33203125" customWidth="1"/>
    <col min="4" max="4" width="49.77734375" bestFit="1" customWidth="1"/>
  </cols>
  <sheetData>
    <row r="1" spans="1:4" s="9" customFormat="1" x14ac:dyDescent="0.3">
      <c r="A1" s="10" t="s">
        <v>882</v>
      </c>
      <c r="B1" s="10" t="s">
        <v>880</v>
      </c>
      <c r="C1" s="10" t="s">
        <v>884</v>
      </c>
      <c r="D1" s="10" t="s">
        <v>881</v>
      </c>
    </row>
    <row r="2" spans="1:4" x14ac:dyDescent="0.3">
      <c r="A2" t="s">
        <v>883</v>
      </c>
      <c r="B2" t="s">
        <v>888</v>
      </c>
      <c r="C2" t="s">
        <v>885</v>
      </c>
      <c r="D2" t="s">
        <v>904</v>
      </c>
    </row>
    <row r="3" spans="1:4" x14ac:dyDescent="0.3">
      <c r="A3" t="s">
        <v>1</v>
      </c>
      <c r="B3" t="s">
        <v>886</v>
      </c>
      <c r="C3" t="s">
        <v>890</v>
      </c>
      <c r="D3" t="s">
        <v>905</v>
      </c>
    </row>
    <row r="4" spans="1:4" x14ac:dyDescent="0.3">
      <c r="A4" t="s">
        <v>2</v>
      </c>
      <c r="B4" t="s">
        <v>889</v>
      </c>
      <c r="C4" t="s">
        <v>885</v>
      </c>
      <c r="D4" t="s">
        <v>906</v>
      </c>
    </row>
    <row r="5" spans="1:4" x14ac:dyDescent="0.3">
      <c r="A5" t="s">
        <v>3</v>
      </c>
      <c r="B5" t="s">
        <v>889</v>
      </c>
      <c r="C5" t="s">
        <v>885</v>
      </c>
      <c r="D5" t="s">
        <v>907</v>
      </c>
    </row>
    <row r="6" spans="1:4" x14ac:dyDescent="0.3">
      <c r="A6" t="s">
        <v>892</v>
      </c>
      <c r="B6" t="s">
        <v>889</v>
      </c>
      <c r="C6" t="s">
        <v>885</v>
      </c>
      <c r="D6" t="s">
        <v>908</v>
      </c>
    </row>
    <row r="7" spans="1:4" x14ac:dyDescent="0.3">
      <c r="A7" t="s">
        <v>893</v>
      </c>
      <c r="B7" t="s">
        <v>889</v>
      </c>
      <c r="C7" t="s">
        <v>896</v>
      </c>
      <c r="D7" t="s">
        <v>909</v>
      </c>
    </row>
    <row r="8" spans="1:4" x14ac:dyDescent="0.3">
      <c r="A8" t="s">
        <v>895</v>
      </c>
      <c r="B8" t="s">
        <v>889</v>
      </c>
      <c r="C8" t="s">
        <v>896</v>
      </c>
      <c r="D8" t="s">
        <v>910</v>
      </c>
    </row>
    <row r="9" spans="1:4" x14ac:dyDescent="0.3">
      <c r="A9" t="s">
        <v>7</v>
      </c>
      <c r="B9" t="s">
        <v>919</v>
      </c>
      <c r="D9" t="s">
        <v>911</v>
      </c>
    </row>
    <row r="10" spans="1:4" x14ac:dyDescent="0.3">
      <c r="A10" t="s">
        <v>10</v>
      </c>
      <c r="B10" t="s">
        <v>920</v>
      </c>
      <c r="D10" t="s">
        <v>912</v>
      </c>
    </row>
    <row r="11" spans="1:4" x14ac:dyDescent="0.3">
      <c r="A11" t="s">
        <v>11</v>
      </c>
      <c r="B11" t="s">
        <v>921</v>
      </c>
      <c r="D11" t="s">
        <v>913</v>
      </c>
    </row>
    <row r="12" spans="1:4" x14ac:dyDescent="0.3">
      <c r="A12" t="s">
        <v>12</v>
      </c>
      <c r="B12" t="s">
        <v>922</v>
      </c>
      <c r="D12" t="s">
        <v>914</v>
      </c>
    </row>
    <row r="13" spans="1:4" x14ac:dyDescent="0.3">
      <c r="A13" t="s">
        <v>13</v>
      </c>
      <c r="B13" t="s">
        <v>923</v>
      </c>
      <c r="D13" t="s">
        <v>915</v>
      </c>
    </row>
    <row r="14" spans="1:4" x14ac:dyDescent="0.3">
      <c r="A14" t="s">
        <v>14</v>
      </c>
      <c r="B14" t="s">
        <v>922</v>
      </c>
      <c r="C14" t="s">
        <v>925</v>
      </c>
      <c r="D14" t="s">
        <v>916</v>
      </c>
    </row>
    <row r="15" spans="1:4" x14ac:dyDescent="0.3">
      <c r="A15" t="s">
        <v>918</v>
      </c>
      <c r="B15" t="s">
        <v>924</v>
      </c>
      <c r="D15" t="s">
        <v>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tabSelected="1" topLeftCell="G1" workbookViewId="0">
      <selection activeCell="M2" sqref="M2"/>
    </sheetView>
  </sheetViews>
  <sheetFormatPr defaultRowHeight="14.4" x14ac:dyDescent="0.3"/>
  <cols>
    <col min="1" max="1" width="21.109375" customWidth="1"/>
    <col min="2" max="2" width="15.77734375" bestFit="1" customWidth="1"/>
    <col min="3" max="3" width="10.109375" customWidth="1"/>
    <col min="4" max="4" width="12.109375" bestFit="1" customWidth="1"/>
    <col min="5" max="5" width="12.5546875" customWidth="1"/>
    <col min="6" max="6" width="19.109375" customWidth="1"/>
    <col min="7" max="7" width="23.5546875" style="6" bestFit="1" customWidth="1"/>
    <col min="8" max="8" width="19.33203125" style="3" customWidth="1"/>
    <col min="9" max="9" width="29.21875" bestFit="1" customWidth="1"/>
    <col min="10" max="10" width="20.6640625" bestFit="1" customWidth="1"/>
    <col min="11" max="11" width="27.88671875" style="4" bestFit="1" customWidth="1"/>
    <col min="12" max="14" width="27.88671875" style="4" customWidth="1"/>
    <col min="15" max="15" width="25" bestFit="1" customWidth="1"/>
    <col min="16" max="16" width="23.5546875" bestFit="1" customWidth="1"/>
    <col min="17" max="17" width="19.44140625" bestFit="1" customWidth="1"/>
    <col min="18" max="18" width="24.109375" bestFit="1" customWidth="1"/>
  </cols>
  <sheetData>
    <row r="1" spans="1:19" x14ac:dyDescent="0.3">
      <c r="A1" s="8" t="s">
        <v>897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891</v>
      </c>
      <c r="G1" s="1" t="s">
        <v>5</v>
      </c>
      <c r="H1" s="7" t="s">
        <v>894</v>
      </c>
      <c r="I1" s="2" t="s">
        <v>898</v>
      </c>
      <c r="J1" s="1" t="s">
        <v>8</v>
      </c>
      <c r="K1" s="1" t="s">
        <v>9</v>
      </c>
      <c r="L1" s="5" t="s">
        <v>10</v>
      </c>
      <c r="M1" s="5" t="s">
        <v>899</v>
      </c>
      <c r="N1" s="5" t="s">
        <v>900</v>
      </c>
      <c r="O1" s="5" t="s">
        <v>901</v>
      </c>
      <c r="P1" s="1" t="s">
        <v>11</v>
      </c>
      <c r="Q1" s="1" t="s">
        <v>12</v>
      </c>
      <c r="R1" s="1" t="s">
        <v>902</v>
      </c>
      <c r="S1" s="1" t="s">
        <v>14</v>
      </c>
    </row>
    <row r="2" spans="1:19" x14ac:dyDescent="0.3">
      <c r="A2" t="str">
        <f t="shared" ref="A2:A33" si="0">"EMP"&amp;TEXT(ROW()-1,"000")</f>
        <v>EMP001</v>
      </c>
      <c r="B2" t="s">
        <v>59</v>
      </c>
      <c r="C2">
        <v>37</v>
      </c>
      <c r="D2" t="s">
        <v>16</v>
      </c>
      <c r="E2" t="s">
        <v>17</v>
      </c>
      <c r="F2" t="s">
        <v>18</v>
      </c>
      <c r="G2" t="s">
        <v>19</v>
      </c>
      <c r="H2" s="6" t="s">
        <v>62</v>
      </c>
      <c r="I2" s="3">
        <v>0</v>
      </c>
      <c r="J2" t="s">
        <v>21</v>
      </c>
      <c r="K2" t="s">
        <v>22</v>
      </c>
      <c r="L2" s="4">
        <v>40396</v>
      </c>
      <c r="N2" s="4" t="str">
        <f>TEXT(L2,"MMM")</f>
        <v>Aug</v>
      </c>
      <c r="O2" s="4" t="str">
        <f>TEXT(L2,"YYY")</f>
        <v>2010</v>
      </c>
      <c r="P2">
        <v>9.6</v>
      </c>
      <c r="Q2">
        <v>6</v>
      </c>
      <c r="R2" t="s">
        <v>39</v>
      </c>
      <c r="S2">
        <v>81</v>
      </c>
    </row>
    <row r="3" spans="1:19" x14ac:dyDescent="0.3">
      <c r="A3" t="str">
        <f t="shared" si="0"/>
        <v>EMP002</v>
      </c>
      <c r="B3" t="s">
        <v>772</v>
      </c>
      <c r="C3">
        <v>27</v>
      </c>
      <c r="D3" t="s">
        <v>68</v>
      </c>
      <c r="E3" t="s">
        <v>17</v>
      </c>
      <c r="F3" t="s">
        <v>18</v>
      </c>
      <c r="G3" t="s">
        <v>27</v>
      </c>
      <c r="H3" s="6" t="s">
        <v>28</v>
      </c>
      <c r="I3" s="3">
        <v>525334.22</v>
      </c>
      <c r="J3" t="s">
        <v>29</v>
      </c>
      <c r="K3" t="s">
        <v>30</v>
      </c>
      <c r="L3" s="4">
        <v>42086</v>
      </c>
      <c r="M3" s="4" t="str">
        <f>TEXT(Table2[[#This Row],[Hire_Date]],"ddd")</f>
        <v>Mon</v>
      </c>
      <c r="N3" s="4" t="str">
        <f t="shared" ref="N3:N66" si="1">TEXT(L3,"MMM")</f>
        <v>Mar</v>
      </c>
      <c r="O3" s="4" t="str">
        <f t="shared" ref="O3:O66" si="2">TEXT(L3,"YYY")</f>
        <v>2015</v>
      </c>
      <c r="P3">
        <v>6.5</v>
      </c>
      <c r="Q3">
        <v>10</v>
      </c>
      <c r="R3" t="s">
        <v>39</v>
      </c>
      <c r="S3">
        <v>64</v>
      </c>
    </row>
    <row r="4" spans="1:19" x14ac:dyDescent="0.3">
      <c r="A4" t="str">
        <f t="shared" si="0"/>
        <v>EMP003</v>
      </c>
      <c r="B4" t="s">
        <v>32</v>
      </c>
      <c r="C4">
        <v>36</v>
      </c>
      <c r="D4" t="s">
        <v>33</v>
      </c>
      <c r="E4" t="s">
        <v>34</v>
      </c>
      <c r="F4" t="s">
        <v>35</v>
      </c>
      <c r="G4" t="s">
        <v>36</v>
      </c>
      <c r="H4" s="6" t="s">
        <v>887</v>
      </c>
      <c r="I4" s="3">
        <v>368838.65</v>
      </c>
      <c r="J4" t="s">
        <v>37</v>
      </c>
      <c r="K4"/>
      <c r="L4" s="4">
        <v>44268</v>
      </c>
      <c r="M4" s="4" t="str">
        <f>TEXT(Table2[[#This Row],[Hire_Date]],"ddd")</f>
        <v>Sat</v>
      </c>
      <c r="N4" s="4" t="str">
        <f t="shared" si="1"/>
        <v>Mar</v>
      </c>
      <c r="O4" s="4" t="str">
        <f t="shared" si="2"/>
        <v>2021</v>
      </c>
      <c r="P4">
        <v>4.3</v>
      </c>
      <c r="Q4">
        <v>31</v>
      </c>
      <c r="R4" t="s">
        <v>887</v>
      </c>
      <c r="S4">
        <v>15</v>
      </c>
    </row>
    <row r="5" spans="1:19" x14ac:dyDescent="0.3">
      <c r="A5" t="str">
        <f t="shared" si="0"/>
        <v>EMP004</v>
      </c>
      <c r="B5" t="s">
        <v>773</v>
      </c>
      <c r="C5">
        <v>46</v>
      </c>
      <c r="D5" t="s">
        <v>16</v>
      </c>
      <c r="E5" t="s">
        <v>34</v>
      </c>
      <c r="F5" t="s">
        <v>42</v>
      </c>
      <c r="G5" t="s">
        <v>43</v>
      </c>
      <c r="H5" s="6" t="s">
        <v>44</v>
      </c>
      <c r="I5" s="3">
        <v>261018.17</v>
      </c>
      <c r="J5" t="s">
        <v>887</v>
      </c>
      <c r="K5" t="s">
        <v>45</v>
      </c>
      <c r="L5" s="4">
        <v>45429</v>
      </c>
      <c r="M5" s="4" t="str">
        <f>TEXT(Table2[[#This Row],[Hire_Date]],"ddd")</f>
        <v>Fri</v>
      </c>
      <c r="N5" s="4" t="str">
        <f t="shared" si="1"/>
        <v>May</v>
      </c>
      <c r="O5" s="4" t="str">
        <f t="shared" si="2"/>
        <v>2024</v>
      </c>
      <c r="P5">
        <v>8.6</v>
      </c>
      <c r="Q5">
        <v>23</v>
      </c>
      <c r="R5" t="s">
        <v>39</v>
      </c>
      <c r="S5">
        <v>92</v>
      </c>
    </row>
    <row r="6" spans="1:19" x14ac:dyDescent="0.3">
      <c r="A6" t="str">
        <f t="shared" si="0"/>
        <v>EMP005</v>
      </c>
      <c r="B6" t="s">
        <v>774</v>
      </c>
      <c r="C6">
        <v>23</v>
      </c>
      <c r="D6" t="s">
        <v>33</v>
      </c>
      <c r="E6" t="s">
        <v>17</v>
      </c>
      <c r="F6" t="s">
        <v>48</v>
      </c>
      <c r="G6" t="s">
        <v>43</v>
      </c>
      <c r="H6" s="6" t="s">
        <v>62</v>
      </c>
      <c r="I6" s="3">
        <v>789431.39</v>
      </c>
      <c r="J6" t="s">
        <v>50</v>
      </c>
      <c r="K6" t="s">
        <v>51</v>
      </c>
      <c r="L6" s="4">
        <v>44160</v>
      </c>
      <c r="M6" s="4" t="str">
        <f>TEXT(Table2[[#This Row],[Hire_Date]],"ddd")</f>
        <v>Wed</v>
      </c>
      <c r="N6" s="4" t="str">
        <f t="shared" si="1"/>
        <v>Nov</v>
      </c>
      <c r="O6" s="4" t="str">
        <f t="shared" si="2"/>
        <v>2020</v>
      </c>
      <c r="P6">
        <v>9.4</v>
      </c>
      <c r="Q6">
        <v>19</v>
      </c>
      <c r="R6" t="s">
        <v>39</v>
      </c>
      <c r="S6">
        <v>44</v>
      </c>
    </row>
    <row r="7" spans="1:19" x14ac:dyDescent="0.3">
      <c r="A7" t="str">
        <f t="shared" si="0"/>
        <v>EMP006</v>
      </c>
      <c r="B7" t="s">
        <v>775</v>
      </c>
      <c r="C7">
        <v>26</v>
      </c>
      <c r="D7" t="s">
        <v>887</v>
      </c>
      <c r="E7" t="s">
        <v>55</v>
      </c>
      <c r="F7" t="s">
        <v>35</v>
      </c>
      <c r="G7" t="s">
        <v>43</v>
      </c>
      <c r="H7" s="6" t="s">
        <v>62</v>
      </c>
      <c r="I7" s="3">
        <v>245682.61</v>
      </c>
      <c r="J7" t="s">
        <v>56</v>
      </c>
      <c r="K7" t="s">
        <v>57</v>
      </c>
      <c r="L7" s="4">
        <v>44390</v>
      </c>
      <c r="M7" s="4" t="str">
        <f>TEXT(Table2[[#This Row],[Hire_Date]],"ddd")</f>
        <v>Tue</v>
      </c>
      <c r="N7" s="4" t="str">
        <f t="shared" si="1"/>
        <v>Jul</v>
      </c>
      <c r="O7" s="4" t="str">
        <f t="shared" si="2"/>
        <v>2021</v>
      </c>
      <c r="P7">
        <v>1.8</v>
      </c>
      <c r="Q7">
        <v>26</v>
      </c>
      <c r="R7" t="s">
        <v>39</v>
      </c>
      <c r="S7">
        <v>0</v>
      </c>
    </row>
    <row r="8" spans="1:19" x14ac:dyDescent="0.3">
      <c r="A8" t="str">
        <f t="shared" si="0"/>
        <v>EMP007</v>
      </c>
      <c r="B8" t="s">
        <v>59</v>
      </c>
      <c r="C8">
        <v>43</v>
      </c>
      <c r="D8" t="s">
        <v>68</v>
      </c>
      <c r="E8" t="s">
        <v>17</v>
      </c>
      <c r="F8" t="s">
        <v>61</v>
      </c>
      <c r="G8" t="s">
        <v>43</v>
      </c>
      <c r="H8" s="6" t="s">
        <v>62</v>
      </c>
      <c r="I8" s="3">
        <v>217945</v>
      </c>
      <c r="J8" t="s">
        <v>64</v>
      </c>
      <c r="K8" t="s">
        <v>65</v>
      </c>
      <c r="L8" s="4">
        <v>44687</v>
      </c>
      <c r="M8" s="4" t="str">
        <f>TEXT(Table2[[#This Row],[Hire_Date]],"ddd")</f>
        <v>Fri</v>
      </c>
      <c r="N8" s="4" t="str">
        <f t="shared" si="1"/>
        <v>May</v>
      </c>
      <c r="O8" s="4" t="str">
        <f t="shared" si="2"/>
        <v>2022</v>
      </c>
      <c r="P8">
        <v>0</v>
      </c>
      <c r="Q8">
        <v>29</v>
      </c>
      <c r="R8" t="s">
        <v>39</v>
      </c>
      <c r="S8">
        <v>100</v>
      </c>
    </row>
    <row r="9" spans="1:19" x14ac:dyDescent="0.3">
      <c r="A9" t="str">
        <f t="shared" si="0"/>
        <v>EMP008</v>
      </c>
      <c r="B9" t="s">
        <v>776</v>
      </c>
      <c r="C9">
        <v>35</v>
      </c>
      <c r="D9" t="s">
        <v>68</v>
      </c>
      <c r="E9" t="s">
        <v>69</v>
      </c>
      <c r="F9" t="s">
        <v>70</v>
      </c>
      <c r="G9" t="s">
        <v>36</v>
      </c>
      <c r="H9" s="6" t="s">
        <v>62</v>
      </c>
      <c r="I9" s="3">
        <v>470380.54</v>
      </c>
      <c r="J9" t="s">
        <v>71</v>
      </c>
      <c r="K9" t="s">
        <v>72</v>
      </c>
      <c r="L9" s="4">
        <v>40644</v>
      </c>
      <c r="M9" s="4" t="str">
        <f>TEXT(Table2[[#This Row],[Hire_Date]],"ddd")</f>
        <v>Mon</v>
      </c>
      <c r="N9" s="4" t="str">
        <f t="shared" si="1"/>
        <v>Apr</v>
      </c>
      <c r="O9" s="4" t="str">
        <f t="shared" si="2"/>
        <v>2011</v>
      </c>
      <c r="P9">
        <v>0</v>
      </c>
      <c r="Q9">
        <v>33</v>
      </c>
      <c r="R9" t="s">
        <v>78</v>
      </c>
      <c r="S9">
        <v>72</v>
      </c>
    </row>
    <row r="10" spans="1:19" x14ac:dyDescent="0.3">
      <c r="A10" t="str">
        <f t="shared" si="0"/>
        <v>EMP009</v>
      </c>
      <c r="B10" t="s">
        <v>74</v>
      </c>
      <c r="C10">
        <v>41</v>
      </c>
      <c r="D10" t="s">
        <v>16</v>
      </c>
      <c r="E10" t="s">
        <v>76</v>
      </c>
      <c r="F10" t="s">
        <v>70</v>
      </c>
      <c r="G10" t="s">
        <v>36</v>
      </c>
      <c r="H10" s="6" t="s">
        <v>62</v>
      </c>
      <c r="I10" s="3">
        <v>753728.69</v>
      </c>
      <c r="J10" t="s">
        <v>887</v>
      </c>
      <c r="K10" t="s">
        <v>22</v>
      </c>
      <c r="L10" s="4">
        <v>42351</v>
      </c>
      <c r="M10" s="4" t="str">
        <f>TEXT(Table2[[#This Row],[Hire_Date]],"ddd")</f>
        <v>Sun</v>
      </c>
      <c r="N10" s="4" t="str">
        <f t="shared" si="1"/>
        <v>Dec</v>
      </c>
      <c r="O10" s="4" t="str">
        <f t="shared" si="2"/>
        <v>2015</v>
      </c>
      <c r="P10">
        <v>1.1000000000000001</v>
      </c>
      <c r="Q10">
        <v>6</v>
      </c>
      <c r="R10" t="s">
        <v>78</v>
      </c>
      <c r="S10">
        <v>89</v>
      </c>
    </row>
    <row r="11" spans="1:19" x14ac:dyDescent="0.3">
      <c r="A11" t="str">
        <f t="shared" si="0"/>
        <v>EMP010</v>
      </c>
      <c r="B11" t="s">
        <v>777</v>
      </c>
      <c r="C11">
        <v>60</v>
      </c>
      <c r="D11" t="s">
        <v>16</v>
      </c>
      <c r="E11" t="s">
        <v>80</v>
      </c>
      <c r="F11" t="s">
        <v>42</v>
      </c>
      <c r="G11" t="s">
        <v>43</v>
      </c>
      <c r="H11" s="6" t="s">
        <v>62</v>
      </c>
      <c r="I11" s="3">
        <v>574997.93000000005</v>
      </c>
      <c r="J11" t="s">
        <v>82</v>
      </c>
      <c r="K11" t="s">
        <v>83</v>
      </c>
      <c r="L11" s="4">
        <v>45375</v>
      </c>
      <c r="M11" s="4" t="str">
        <f>TEXT(Table2[[#This Row],[Hire_Date]],"ddd")</f>
        <v>Sun</v>
      </c>
      <c r="N11" s="4" t="str">
        <f t="shared" si="1"/>
        <v>Mar</v>
      </c>
      <c r="O11" s="4" t="str">
        <f t="shared" si="2"/>
        <v>2024</v>
      </c>
      <c r="P11">
        <v>1.1000000000000001</v>
      </c>
      <c r="Q11">
        <v>9</v>
      </c>
      <c r="R11" t="s">
        <v>39</v>
      </c>
      <c r="S11">
        <v>55</v>
      </c>
    </row>
    <row r="12" spans="1:19" x14ac:dyDescent="0.3">
      <c r="A12" t="str">
        <f t="shared" si="0"/>
        <v>EMP011</v>
      </c>
      <c r="B12" t="s">
        <v>778</v>
      </c>
      <c r="C12">
        <v>24</v>
      </c>
      <c r="D12" t="s">
        <v>16</v>
      </c>
      <c r="E12" t="s">
        <v>99</v>
      </c>
      <c r="F12" t="s">
        <v>88</v>
      </c>
      <c r="G12" t="s">
        <v>94</v>
      </c>
      <c r="H12" s="6" t="s">
        <v>887</v>
      </c>
      <c r="I12" s="3">
        <v>259661.41</v>
      </c>
      <c r="J12" t="s">
        <v>90</v>
      </c>
      <c r="K12"/>
      <c r="L12" s="4">
        <v>41445</v>
      </c>
      <c r="M12" s="4" t="str">
        <f>TEXT(Table2[[#This Row],[Hire_Date]],"ddd")</f>
        <v>Thu</v>
      </c>
      <c r="N12" s="4" t="str">
        <f t="shared" si="1"/>
        <v>Jun</v>
      </c>
      <c r="O12" s="4" t="str">
        <f t="shared" si="2"/>
        <v>2013</v>
      </c>
      <c r="P12">
        <v>8.1999999999999993</v>
      </c>
      <c r="Q12">
        <v>17</v>
      </c>
      <c r="R12" t="s">
        <v>887</v>
      </c>
      <c r="S12">
        <v>87</v>
      </c>
    </row>
    <row r="13" spans="1:19" x14ac:dyDescent="0.3">
      <c r="A13" t="str">
        <f t="shared" si="0"/>
        <v>EMP012</v>
      </c>
      <c r="B13" t="s">
        <v>495</v>
      </c>
      <c r="C13">
        <v>44</v>
      </c>
      <c r="D13" t="s">
        <v>16</v>
      </c>
      <c r="E13" t="s">
        <v>17</v>
      </c>
      <c r="F13" t="s">
        <v>93</v>
      </c>
      <c r="G13" t="s">
        <v>94</v>
      </c>
      <c r="H13" s="6" t="s">
        <v>28</v>
      </c>
      <c r="I13" s="3">
        <v>243868.75</v>
      </c>
      <c r="J13" t="s">
        <v>95</v>
      </c>
      <c r="K13" t="s">
        <v>96</v>
      </c>
      <c r="L13" s="4">
        <v>45434</v>
      </c>
      <c r="M13" s="4" t="str">
        <f>TEXT(Table2[[#This Row],[Hire_Date]],"ddd")</f>
        <v>Wed</v>
      </c>
      <c r="N13" s="4" t="str">
        <f t="shared" si="1"/>
        <v>May</v>
      </c>
      <c r="O13" s="4" t="str">
        <f t="shared" si="2"/>
        <v>2024</v>
      </c>
      <c r="P13">
        <v>6.4</v>
      </c>
      <c r="Q13">
        <v>27</v>
      </c>
      <c r="R13" t="s">
        <v>39</v>
      </c>
      <c r="S13">
        <v>90</v>
      </c>
    </row>
    <row r="14" spans="1:19" x14ac:dyDescent="0.3">
      <c r="A14" t="str">
        <f t="shared" si="0"/>
        <v>EMP013</v>
      </c>
      <c r="B14" t="s">
        <v>779</v>
      </c>
      <c r="C14">
        <v>22</v>
      </c>
      <c r="D14" t="s">
        <v>16</v>
      </c>
      <c r="E14" t="s">
        <v>99</v>
      </c>
      <c r="F14" t="s">
        <v>70</v>
      </c>
      <c r="G14" t="s">
        <v>43</v>
      </c>
      <c r="H14" s="6" t="s">
        <v>62</v>
      </c>
      <c r="I14" s="3">
        <v>574537.15</v>
      </c>
      <c r="J14" t="s">
        <v>102</v>
      </c>
      <c r="K14" t="s">
        <v>103</v>
      </c>
      <c r="L14" s="4">
        <v>45283</v>
      </c>
      <c r="M14" s="4" t="str">
        <f>TEXT(Table2[[#This Row],[Hire_Date]],"ddd")</f>
        <v>Sat</v>
      </c>
      <c r="N14" s="4" t="str">
        <f t="shared" si="1"/>
        <v>Dec</v>
      </c>
      <c r="O14" s="4" t="str">
        <f t="shared" si="2"/>
        <v>2023</v>
      </c>
      <c r="P14">
        <v>2.7</v>
      </c>
      <c r="Q14">
        <v>11</v>
      </c>
      <c r="R14" t="s">
        <v>39</v>
      </c>
      <c r="S14">
        <v>83</v>
      </c>
    </row>
    <row r="15" spans="1:19" x14ac:dyDescent="0.3">
      <c r="A15" t="str">
        <f t="shared" si="0"/>
        <v>EMP014</v>
      </c>
      <c r="B15" t="s">
        <v>780</v>
      </c>
      <c r="C15">
        <v>60</v>
      </c>
      <c r="D15" t="s">
        <v>68</v>
      </c>
      <c r="E15" t="s">
        <v>80</v>
      </c>
      <c r="F15" t="s">
        <v>93</v>
      </c>
      <c r="G15" t="s">
        <v>94</v>
      </c>
      <c r="H15" s="6" t="s">
        <v>62</v>
      </c>
      <c r="I15" s="3">
        <v>398355.06</v>
      </c>
      <c r="J15" t="s">
        <v>106</v>
      </c>
      <c r="K15"/>
      <c r="L15" s="4">
        <v>40873</v>
      </c>
      <c r="M15" s="4" t="str">
        <f>TEXT(Table2[[#This Row],[Hire_Date]],"ddd")</f>
        <v>Sat</v>
      </c>
      <c r="N15" s="4" t="str">
        <f t="shared" si="1"/>
        <v>Nov</v>
      </c>
      <c r="O15" s="4" t="str">
        <f t="shared" si="2"/>
        <v>2011</v>
      </c>
      <c r="P15">
        <v>3.2</v>
      </c>
      <c r="Q15">
        <v>4</v>
      </c>
      <c r="R15" t="s">
        <v>78</v>
      </c>
      <c r="S15">
        <v>72</v>
      </c>
    </row>
    <row r="16" spans="1:19" x14ac:dyDescent="0.3">
      <c r="A16" t="str">
        <f t="shared" si="0"/>
        <v>EMP015</v>
      </c>
      <c r="B16" t="s">
        <v>781</v>
      </c>
      <c r="C16">
        <v>22</v>
      </c>
      <c r="D16" t="s">
        <v>33</v>
      </c>
      <c r="E16" t="s">
        <v>34</v>
      </c>
      <c r="F16" t="s">
        <v>70</v>
      </c>
      <c r="G16" t="s">
        <v>94</v>
      </c>
      <c r="H16" s="6" t="s">
        <v>28</v>
      </c>
      <c r="I16" s="3">
        <v>717534.95</v>
      </c>
      <c r="J16" t="s">
        <v>110</v>
      </c>
      <c r="K16" t="s">
        <v>111</v>
      </c>
      <c r="L16" s="4">
        <v>44745</v>
      </c>
      <c r="M16" s="4" t="str">
        <f>TEXT(Table2[[#This Row],[Hire_Date]],"ddd")</f>
        <v>Sun</v>
      </c>
      <c r="N16" s="4" t="str">
        <f t="shared" si="1"/>
        <v>Jul</v>
      </c>
      <c r="O16" s="4" t="str">
        <f t="shared" si="2"/>
        <v>2022</v>
      </c>
      <c r="P16">
        <v>8.3000000000000007</v>
      </c>
      <c r="Q16">
        <v>35</v>
      </c>
      <c r="R16" t="s">
        <v>78</v>
      </c>
      <c r="S16">
        <v>48</v>
      </c>
    </row>
    <row r="17" spans="1:19" x14ac:dyDescent="0.3">
      <c r="A17" t="str">
        <f t="shared" si="0"/>
        <v>EMP016</v>
      </c>
      <c r="B17" t="s">
        <v>782</v>
      </c>
      <c r="C17">
        <v>55</v>
      </c>
      <c r="D17" t="s">
        <v>16</v>
      </c>
      <c r="E17" t="s">
        <v>115</v>
      </c>
      <c r="F17" t="s">
        <v>48</v>
      </c>
      <c r="G17" t="s">
        <v>116</v>
      </c>
      <c r="H17" s="6" t="s">
        <v>887</v>
      </c>
      <c r="I17" s="3">
        <v>396708.27</v>
      </c>
      <c r="J17" t="s">
        <v>117</v>
      </c>
      <c r="K17" t="s">
        <v>118</v>
      </c>
      <c r="L17" s="4">
        <v>41414</v>
      </c>
      <c r="M17" s="4" t="str">
        <f>TEXT(Table2[[#This Row],[Hire_Date]],"ddd")</f>
        <v>Mon</v>
      </c>
      <c r="N17" s="4" t="str">
        <f t="shared" si="1"/>
        <v>May</v>
      </c>
      <c r="O17" s="4" t="str">
        <f t="shared" si="2"/>
        <v>2013</v>
      </c>
      <c r="P17">
        <v>4.5</v>
      </c>
      <c r="Q17">
        <v>1</v>
      </c>
      <c r="R17" t="s">
        <v>39</v>
      </c>
      <c r="S17">
        <v>48</v>
      </c>
    </row>
    <row r="18" spans="1:19" x14ac:dyDescent="0.3">
      <c r="A18" t="str">
        <f t="shared" si="0"/>
        <v>EMP017</v>
      </c>
      <c r="B18" t="s">
        <v>783</v>
      </c>
      <c r="C18">
        <v>56</v>
      </c>
      <c r="D18" t="s">
        <v>33</v>
      </c>
      <c r="E18" t="s">
        <v>121</v>
      </c>
      <c r="F18" t="s">
        <v>35</v>
      </c>
      <c r="G18" t="s">
        <v>94</v>
      </c>
      <c r="H18" s="6" t="s">
        <v>28</v>
      </c>
      <c r="I18" s="3">
        <v>514341.86</v>
      </c>
      <c r="J18" t="s">
        <v>122</v>
      </c>
      <c r="K18"/>
      <c r="L18" s="4">
        <v>43491</v>
      </c>
      <c r="M18" s="4" t="str">
        <f>TEXT(Table2[[#This Row],[Hire_Date]],"ddd")</f>
        <v>Sat</v>
      </c>
      <c r="N18" s="4" t="str">
        <f t="shared" si="1"/>
        <v>Jan</v>
      </c>
      <c r="O18" s="4" t="str">
        <f t="shared" si="2"/>
        <v>2019</v>
      </c>
      <c r="P18">
        <v>6.8</v>
      </c>
      <c r="Q18">
        <v>3</v>
      </c>
      <c r="R18" t="s">
        <v>78</v>
      </c>
      <c r="S18">
        <v>33</v>
      </c>
    </row>
    <row r="19" spans="1:19" x14ac:dyDescent="0.3">
      <c r="A19" t="str">
        <f t="shared" si="0"/>
        <v>EMP018</v>
      </c>
      <c r="B19" t="s">
        <v>784</v>
      </c>
      <c r="C19">
        <v>38</v>
      </c>
      <c r="D19" t="s">
        <v>68</v>
      </c>
      <c r="E19" t="s">
        <v>17</v>
      </c>
      <c r="F19" t="s">
        <v>88</v>
      </c>
      <c r="G19" t="s">
        <v>116</v>
      </c>
      <c r="H19" s="6" t="s">
        <v>62</v>
      </c>
      <c r="I19" s="3">
        <v>619297.47</v>
      </c>
      <c r="J19" t="s">
        <v>125</v>
      </c>
      <c r="K19" t="s">
        <v>126</v>
      </c>
      <c r="L19" s="4">
        <v>40433</v>
      </c>
      <c r="M19" s="4" t="str">
        <f>TEXT(Table2[[#This Row],[Hire_Date]],"ddd")</f>
        <v>Sun</v>
      </c>
      <c r="N19" s="4" t="str">
        <f t="shared" si="1"/>
        <v>Sep</v>
      </c>
      <c r="O19" s="4" t="str">
        <f t="shared" si="2"/>
        <v>2010</v>
      </c>
      <c r="P19">
        <v>7.3</v>
      </c>
      <c r="Q19">
        <v>7</v>
      </c>
      <c r="R19" t="s">
        <v>78</v>
      </c>
      <c r="S19">
        <v>11</v>
      </c>
    </row>
    <row r="20" spans="1:19" x14ac:dyDescent="0.3">
      <c r="A20" t="str">
        <f t="shared" si="0"/>
        <v>EMP019</v>
      </c>
      <c r="B20" t="s">
        <v>785</v>
      </c>
      <c r="C20">
        <v>47</v>
      </c>
      <c r="D20" t="s">
        <v>68</v>
      </c>
      <c r="E20" t="s">
        <v>129</v>
      </c>
      <c r="F20" t="s">
        <v>61</v>
      </c>
      <c r="G20" t="s">
        <v>43</v>
      </c>
      <c r="H20" s="6" t="s">
        <v>62</v>
      </c>
      <c r="I20" s="3">
        <v>506310.46</v>
      </c>
      <c r="J20" t="s">
        <v>130</v>
      </c>
      <c r="K20" t="s">
        <v>131</v>
      </c>
      <c r="L20" s="4">
        <v>41170</v>
      </c>
      <c r="M20" s="4" t="str">
        <f>TEXT(Table2[[#This Row],[Hire_Date]],"ddd")</f>
        <v>Tue</v>
      </c>
      <c r="N20" s="4" t="str">
        <f t="shared" si="1"/>
        <v>Sep</v>
      </c>
      <c r="O20" s="4" t="str">
        <f t="shared" si="2"/>
        <v>2012</v>
      </c>
      <c r="P20">
        <v>1.9</v>
      </c>
      <c r="Q20">
        <v>29</v>
      </c>
      <c r="R20" t="s">
        <v>78</v>
      </c>
      <c r="S20">
        <v>52</v>
      </c>
    </row>
    <row r="21" spans="1:19" x14ac:dyDescent="0.3">
      <c r="A21" t="str">
        <f t="shared" si="0"/>
        <v>EMP020</v>
      </c>
      <c r="B21" t="s">
        <v>786</v>
      </c>
      <c r="C21">
        <v>52</v>
      </c>
      <c r="D21" t="s">
        <v>68</v>
      </c>
      <c r="E21" t="s">
        <v>17</v>
      </c>
      <c r="F21" t="s">
        <v>18</v>
      </c>
      <c r="G21" t="s">
        <v>27</v>
      </c>
      <c r="H21" s="6" t="s">
        <v>135</v>
      </c>
      <c r="I21" s="3">
        <v>506581.73</v>
      </c>
      <c r="J21" t="s">
        <v>136</v>
      </c>
      <c r="K21" t="s">
        <v>137</v>
      </c>
      <c r="L21" s="4">
        <v>43985</v>
      </c>
      <c r="M21" s="4" t="str">
        <f>TEXT(Table2[[#This Row],[Hire_Date]],"ddd")</f>
        <v>Wed</v>
      </c>
      <c r="N21" s="4" t="str">
        <f t="shared" si="1"/>
        <v>Jun</v>
      </c>
      <c r="O21" s="4" t="str">
        <f t="shared" si="2"/>
        <v>2020</v>
      </c>
      <c r="P21">
        <v>3.5</v>
      </c>
      <c r="Q21" t="s">
        <v>887</v>
      </c>
      <c r="R21" t="s">
        <v>39</v>
      </c>
      <c r="S21">
        <v>72</v>
      </c>
    </row>
    <row r="22" spans="1:19" x14ac:dyDescent="0.3">
      <c r="A22" t="str">
        <f t="shared" si="0"/>
        <v>EMP021</v>
      </c>
      <c r="B22" t="s">
        <v>139</v>
      </c>
      <c r="C22">
        <v>52</v>
      </c>
      <c r="D22" t="s">
        <v>68</v>
      </c>
      <c r="E22" t="s">
        <v>115</v>
      </c>
      <c r="F22" t="s">
        <v>93</v>
      </c>
      <c r="G22" t="s">
        <v>27</v>
      </c>
      <c r="H22" s="6" t="s">
        <v>62</v>
      </c>
      <c r="I22" s="3">
        <v>650911.67000000004</v>
      </c>
      <c r="J22" t="s">
        <v>140</v>
      </c>
      <c r="K22" t="s">
        <v>141</v>
      </c>
      <c r="L22" s="4">
        <v>44055</v>
      </c>
      <c r="M22" s="4" t="str">
        <f>TEXT(Table2[[#This Row],[Hire_Date]],"ddd")</f>
        <v>Wed</v>
      </c>
      <c r="N22" s="4" t="str">
        <f t="shared" si="1"/>
        <v>Aug</v>
      </c>
      <c r="O22" s="4" t="str">
        <f t="shared" si="2"/>
        <v>2020</v>
      </c>
      <c r="P22">
        <v>2.1</v>
      </c>
      <c r="Q22">
        <v>34</v>
      </c>
      <c r="R22" t="s">
        <v>39</v>
      </c>
      <c r="S22">
        <v>22</v>
      </c>
    </row>
    <row r="23" spans="1:19" x14ac:dyDescent="0.3">
      <c r="A23" t="str">
        <f t="shared" si="0"/>
        <v>EMP022</v>
      </c>
      <c r="B23" t="s">
        <v>787</v>
      </c>
      <c r="C23">
        <v>60</v>
      </c>
      <c r="D23" t="s">
        <v>68</v>
      </c>
      <c r="E23" t="s">
        <v>121</v>
      </c>
      <c r="F23" t="s">
        <v>48</v>
      </c>
      <c r="G23" t="s">
        <v>94</v>
      </c>
      <c r="H23" s="6" t="s">
        <v>135</v>
      </c>
      <c r="I23" s="3">
        <v>0</v>
      </c>
      <c r="J23" t="s">
        <v>144</v>
      </c>
      <c r="K23" t="s">
        <v>145</v>
      </c>
      <c r="L23" s="4">
        <v>40625</v>
      </c>
      <c r="M23" s="4" t="str">
        <f>TEXT(Table2[[#This Row],[Hire_Date]],"ddd")</f>
        <v>Wed</v>
      </c>
      <c r="N23" s="4" t="str">
        <f t="shared" si="1"/>
        <v>Mar</v>
      </c>
      <c r="O23" s="4" t="str">
        <f t="shared" si="2"/>
        <v>2011</v>
      </c>
      <c r="P23">
        <v>2.7</v>
      </c>
      <c r="Q23">
        <v>30</v>
      </c>
      <c r="R23" t="s">
        <v>78</v>
      </c>
      <c r="S23">
        <v>7</v>
      </c>
    </row>
    <row r="24" spans="1:19" x14ac:dyDescent="0.3">
      <c r="A24" t="str">
        <f t="shared" si="0"/>
        <v>EMP023</v>
      </c>
      <c r="B24" t="s">
        <v>788</v>
      </c>
      <c r="C24">
        <v>41</v>
      </c>
      <c r="D24" t="s">
        <v>887</v>
      </c>
      <c r="E24" t="s">
        <v>129</v>
      </c>
      <c r="F24" t="s">
        <v>18</v>
      </c>
      <c r="G24" t="s">
        <v>116</v>
      </c>
      <c r="H24" s="6" t="s">
        <v>44</v>
      </c>
      <c r="I24" s="3">
        <v>481812.58</v>
      </c>
      <c r="J24" t="s">
        <v>148</v>
      </c>
      <c r="K24" t="s">
        <v>149</v>
      </c>
      <c r="L24" s="4">
        <v>43805</v>
      </c>
      <c r="M24" s="4" t="str">
        <f>TEXT(Table2[[#This Row],[Hire_Date]],"ddd")</f>
        <v>Fri</v>
      </c>
      <c r="N24" s="4" t="str">
        <f t="shared" si="1"/>
        <v>Dec</v>
      </c>
      <c r="O24" s="4" t="str">
        <f t="shared" si="2"/>
        <v>2019</v>
      </c>
      <c r="P24">
        <v>6.9</v>
      </c>
      <c r="Q24">
        <v>4</v>
      </c>
      <c r="R24" t="s">
        <v>887</v>
      </c>
      <c r="S24">
        <v>59</v>
      </c>
    </row>
    <row r="25" spans="1:19" x14ac:dyDescent="0.3">
      <c r="A25" t="str">
        <f t="shared" si="0"/>
        <v>EMP024</v>
      </c>
      <c r="B25" t="s">
        <v>151</v>
      </c>
      <c r="C25">
        <v>40</v>
      </c>
      <c r="D25" t="s">
        <v>68</v>
      </c>
      <c r="E25" t="s">
        <v>121</v>
      </c>
      <c r="F25" t="s">
        <v>48</v>
      </c>
      <c r="G25" t="s">
        <v>36</v>
      </c>
      <c r="H25" s="6" t="s">
        <v>44</v>
      </c>
      <c r="I25" s="3">
        <v>574917.14</v>
      </c>
      <c r="J25" t="s">
        <v>152</v>
      </c>
      <c r="K25" t="s">
        <v>153</v>
      </c>
      <c r="L25" s="4">
        <v>41119</v>
      </c>
      <c r="M25" s="4" t="str">
        <f>TEXT(Table2[[#This Row],[Hire_Date]],"ddd")</f>
        <v>Sun</v>
      </c>
      <c r="N25" s="4" t="str">
        <f t="shared" si="1"/>
        <v>Jul</v>
      </c>
      <c r="O25" s="4" t="str">
        <f t="shared" si="2"/>
        <v>2012</v>
      </c>
      <c r="P25">
        <v>5</v>
      </c>
      <c r="Q25">
        <v>25</v>
      </c>
      <c r="R25" t="s">
        <v>39</v>
      </c>
      <c r="S25">
        <v>44</v>
      </c>
    </row>
    <row r="26" spans="1:19" x14ac:dyDescent="0.3">
      <c r="A26" t="str">
        <f t="shared" si="0"/>
        <v>EMP025</v>
      </c>
      <c r="B26" t="s">
        <v>155</v>
      </c>
      <c r="C26" t="s">
        <v>887</v>
      </c>
      <c r="D26" t="s">
        <v>16</v>
      </c>
      <c r="E26" t="s">
        <v>17</v>
      </c>
      <c r="F26" t="s">
        <v>48</v>
      </c>
      <c r="G26" t="s">
        <v>94</v>
      </c>
      <c r="H26" s="6" t="s">
        <v>28</v>
      </c>
      <c r="I26" s="3">
        <v>244825.58</v>
      </c>
      <c r="J26" t="s">
        <v>156</v>
      </c>
      <c r="K26" t="s">
        <v>22</v>
      </c>
      <c r="L26" s="4">
        <v>40508</v>
      </c>
      <c r="M26" s="4" t="str">
        <f>TEXT(Table2[[#This Row],[Hire_Date]],"ddd")</f>
        <v>Fri</v>
      </c>
      <c r="N26" s="4" t="str">
        <f t="shared" si="1"/>
        <v>Nov</v>
      </c>
      <c r="O26" s="4" t="str">
        <f t="shared" si="2"/>
        <v>2010</v>
      </c>
      <c r="P26">
        <v>5.2</v>
      </c>
      <c r="Q26">
        <v>6</v>
      </c>
      <c r="R26" t="s">
        <v>39</v>
      </c>
      <c r="S26">
        <v>50</v>
      </c>
    </row>
    <row r="27" spans="1:19" x14ac:dyDescent="0.3">
      <c r="A27" t="str">
        <f t="shared" si="0"/>
        <v>EMP026</v>
      </c>
      <c r="B27" t="s">
        <v>789</v>
      </c>
      <c r="C27">
        <v>24</v>
      </c>
      <c r="D27" t="s">
        <v>68</v>
      </c>
      <c r="E27" t="s">
        <v>76</v>
      </c>
      <c r="F27" t="s">
        <v>61</v>
      </c>
      <c r="G27" t="s">
        <v>43</v>
      </c>
      <c r="H27" s="6" t="s">
        <v>62</v>
      </c>
      <c r="I27" s="3">
        <v>312757.13</v>
      </c>
      <c r="J27" t="s">
        <v>160</v>
      </c>
      <c r="K27" t="s">
        <v>161</v>
      </c>
      <c r="L27" s="4">
        <v>44623</v>
      </c>
      <c r="M27" s="4" t="str">
        <f>TEXT(Table2[[#This Row],[Hire_Date]],"ddd")</f>
        <v>Thu</v>
      </c>
      <c r="N27" s="4" t="str">
        <f t="shared" si="1"/>
        <v>Mar</v>
      </c>
      <c r="O27" s="4" t="str">
        <f t="shared" si="2"/>
        <v>2022</v>
      </c>
      <c r="P27">
        <v>9.3000000000000007</v>
      </c>
      <c r="Q27" t="s">
        <v>887</v>
      </c>
      <c r="R27" t="s">
        <v>78</v>
      </c>
      <c r="S27">
        <v>24</v>
      </c>
    </row>
    <row r="28" spans="1:19" x14ac:dyDescent="0.3">
      <c r="A28" t="str">
        <f t="shared" si="0"/>
        <v>EMP027</v>
      </c>
      <c r="B28" t="s">
        <v>790</v>
      </c>
      <c r="C28">
        <v>48</v>
      </c>
      <c r="D28" t="s">
        <v>33</v>
      </c>
      <c r="E28" t="s">
        <v>17</v>
      </c>
      <c r="F28" t="s">
        <v>35</v>
      </c>
      <c r="G28" t="s">
        <v>43</v>
      </c>
      <c r="H28" s="6" t="s">
        <v>62</v>
      </c>
      <c r="I28" s="3">
        <v>737310</v>
      </c>
      <c r="J28" t="s">
        <v>165</v>
      </c>
      <c r="K28"/>
      <c r="L28" s="4">
        <v>42418</v>
      </c>
      <c r="M28" s="4" t="str">
        <f>TEXT(Table2[[#This Row],[Hire_Date]],"ddd")</f>
        <v>Thu</v>
      </c>
      <c r="N28" s="4" t="str">
        <f t="shared" si="1"/>
        <v>Feb</v>
      </c>
      <c r="O28" s="4" t="str">
        <f t="shared" si="2"/>
        <v>2016</v>
      </c>
      <c r="P28">
        <v>8.8000000000000007</v>
      </c>
      <c r="Q28">
        <v>26</v>
      </c>
      <c r="R28" t="s">
        <v>78</v>
      </c>
      <c r="S28">
        <v>82</v>
      </c>
    </row>
    <row r="29" spans="1:19" x14ac:dyDescent="0.3">
      <c r="A29" t="str">
        <f t="shared" si="0"/>
        <v>EMP028</v>
      </c>
      <c r="B29" t="s">
        <v>780</v>
      </c>
      <c r="C29">
        <v>53</v>
      </c>
      <c r="D29" t="s">
        <v>68</v>
      </c>
      <c r="E29" t="s">
        <v>76</v>
      </c>
      <c r="F29" t="s">
        <v>88</v>
      </c>
      <c r="G29" t="s">
        <v>43</v>
      </c>
      <c r="H29" s="6" t="s">
        <v>62</v>
      </c>
      <c r="I29" s="3">
        <v>428725.8</v>
      </c>
      <c r="J29" t="s">
        <v>106</v>
      </c>
      <c r="K29"/>
      <c r="L29" s="4">
        <v>42135</v>
      </c>
      <c r="M29" s="4" t="str">
        <f>TEXT(Table2[[#This Row],[Hire_Date]],"ddd")</f>
        <v>Mon</v>
      </c>
      <c r="N29" s="4" t="str">
        <f t="shared" si="1"/>
        <v>May</v>
      </c>
      <c r="O29" s="4" t="str">
        <f t="shared" si="2"/>
        <v>2015</v>
      </c>
      <c r="P29">
        <v>0</v>
      </c>
      <c r="Q29">
        <v>28</v>
      </c>
      <c r="R29" t="s">
        <v>39</v>
      </c>
      <c r="S29">
        <v>0</v>
      </c>
    </row>
    <row r="30" spans="1:19" x14ac:dyDescent="0.3">
      <c r="A30" t="str">
        <f t="shared" si="0"/>
        <v>EMP029</v>
      </c>
      <c r="B30" t="s">
        <v>791</v>
      </c>
      <c r="C30">
        <v>26</v>
      </c>
      <c r="D30" t="s">
        <v>68</v>
      </c>
      <c r="E30" t="s">
        <v>69</v>
      </c>
      <c r="F30" t="s">
        <v>35</v>
      </c>
      <c r="G30" t="s">
        <v>116</v>
      </c>
      <c r="H30" s="6" t="s">
        <v>28</v>
      </c>
      <c r="I30" s="3">
        <v>323764.09000000003</v>
      </c>
      <c r="J30" t="s">
        <v>169</v>
      </c>
      <c r="K30" t="s">
        <v>170</v>
      </c>
      <c r="L30" s="4">
        <v>42773</v>
      </c>
      <c r="M30" s="4" t="str">
        <f>TEXT(Table2[[#This Row],[Hire_Date]],"ddd")</f>
        <v>Tue</v>
      </c>
      <c r="N30" s="4" t="str">
        <f t="shared" si="1"/>
        <v>Feb</v>
      </c>
      <c r="O30" s="4" t="str">
        <f t="shared" si="2"/>
        <v>2017</v>
      </c>
      <c r="P30">
        <v>4.9000000000000004</v>
      </c>
      <c r="Q30">
        <v>6</v>
      </c>
      <c r="R30" t="s">
        <v>39</v>
      </c>
      <c r="S30">
        <v>3</v>
      </c>
    </row>
    <row r="31" spans="1:19" x14ac:dyDescent="0.3">
      <c r="A31" t="str">
        <f t="shared" si="0"/>
        <v>EMP030</v>
      </c>
      <c r="B31" t="s">
        <v>792</v>
      </c>
      <c r="C31">
        <v>49</v>
      </c>
      <c r="D31" t="s">
        <v>68</v>
      </c>
      <c r="E31" t="s">
        <v>80</v>
      </c>
      <c r="F31" t="s">
        <v>48</v>
      </c>
      <c r="G31" t="s">
        <v>94</v>
      </c>
      <c r="H31" s="6" t="s">
        <v>44</v>
      </c>
      <c r="I31" s="3">
        <v>487468.2</v>
      </c>
      <c r="J31" t="s">
        <v>173</v>
      </c>
      <c r="K31"/>
      <c r="L31" s="4">
        <v>42151</v>
      </c>
      <c r="M31" s="4" t="str">
        <f>TEXT(Table2[[#This Row],[Hire_Date]],"ddd")</f>
        <v>Wed</v>
      </c>
      <c r="N31" s="4" t="str">
        <f t="shared" si="1"/>
        <v>May</v>
      </c>
      <c r="O31" s="4" t="str">
        <f t="shared" si="2"/>
        <v>2015</v>
      </c>
      <c r="P31">
        <v>7.1</v>
      </c>
      <c r="Q31">
        <v>22</v>
      </c>
      <c r="R31" t="s">
        <v>39</v>
      </c>
      <c r="S31">
        <v>42</v>
      </c>
    </row>
    <row r="32" spans="1:19" x14ac:dyDescent="0.3">
      <c r="A32" t="str">
        <f t="shared" si="0"/>
        <v>EMP031</v>
      </c>
      <c r="B32" t="s">
        <v>793</v>
      </c>
      <c r="C32">
        <v>46</v>
      </c>
      <c r="D32" t="s">
        <v>16</v>
      </c>
      <c r="E32" t="s">
        <v>69</v>
      </c>
      <c r="F32" t="s">
        <v>61</v>
      </c>
      <c r="G32" t="s">
        <v>116</v>
      </c>
      <c r="H32" s="6" t="s">
        <v>28</v>
      </c>
      <c r="I32" s="3">
        <v>354582.29</v>
      </c>
      <c r="J32" t="s">
        <v>176</v>
      </c>
      <c r="K32" t="s">
        <v>177</v>
      </c>
      <c r="L32" s="4">
        <v>42427</v>
      </c>
      <c r="M32" s="4" t="str">
        <f>TEXT(Table2[[#This Row],[Hire_Date]],"ddd")</f>
        <v>Sat</v>
      </c>
      <c r="N32" s="4" t="str">
        <f t="shared" si="1"/>
        <v>Feb</v>
      </c>
      <c r="O32" s="4" t="str">
        <f t="shared" si="2"/>
        <v>2016</v>
      </c>
      <c r="P32">
        <v>3.3</v>
      </c>
      <c r="Q32">
        <v>8</v>
      </c>
      <c r="R32" t="s">
        <v>887</v>
      </c>
      <c r="S32">
        <v>31</v>
      </c>
    </row>
    <row r="33" spans="1:19" x14ac:dyDescent="0.3">
      <c r="A33" t="str">
        <f t="shared" si="0"/>
        <v>EMP032</v>
      </c>
      <c r="B33" t="s">
        <v>179</v>
      </c>
      <c r="C33">
        <v>30</v>
      </c>
      <c r="D33" t="s">
        <v>68</v>
      </c>
      <c r="E33" t="s">
        <v>129</v>
      </c>
      <c r="F33" t="s">
        <v>35</v>
      </c>
      <c r="G33" t="s">
        <v>116</v>
      </c>
      <c r="H33" s="6" t="s">
        <v>887</v>
      </c>
      <c r="I33" s="3">
        <v>618186.22</v>
      </c>
      <c r="J33" t="s">
        <v>180</v>
      </c>
      <c r="K33" t="s">
        <v>181</v>
      </c>
      <c r="L33" s="4">
        <v>41526</v>
      </c>
      <c r="M33" s="4" t="str">
        <f>TEXT(Table2[[#This Row],[Hire_Date]],"ddd")</f>
        <v>Mon</v>
      </c>
      <c r="N33" s="4" t="str">
        <f t="shared" si="1"/>
        <v>Sep</v>
      </c>
      <c r="O33" s="4" t="str">
        <f t="shared" si="2"/>
        <v>2013</v>
      </c>
      <c r="P33">
        <v>9.6999999999999993</v>
      </c>
      <c r="Q33" t="s">
        <v>887</v>
      </c>
      <c r="R33" t="s">
        <v>39</v>
      </c>
      <c r="S33">
        <v>37</v>
      </c>
    </row>
    <row r="34" spans="1:19" x14ac:dyDescent="0.3">
      <c r="A34" t="str">
        <f t="shared" ref="A34:A65" si="3">"EMP"&amp;TEXT(ROW()-1,"000")</f>
        <v>EMP033</v>
      </c>
      <c r="B34" t="s">
        <v>183</v>
      </c>
      <c r="C34">
        <v>45</v>
      </c>
      <c r="D34" t="s">
        <v>16</v>
      </c>
      <c r="E34" t="s">
        <v>121</v>
      </c>
      <c r="F34" t="s">
        <v>42</v>
      </c>
      <c r="G34" t="s">
        <v>43</v>
      </c>
      <c r="H34" s="6" t="s">
        <v>62</v>
      </c>
      <c r="I34" s="3">
        <v>98017.75</v>
      </c>
      <c r="J34" t="s">
        <v>184</v>
      </c>
      <c r="K34"/>
      <c r="L34" s="4">
        <v>43982</v>
      </c>
      <c r="M34" s="4" t="str">
        <f>TEXT(Table2[[#This Row],[Hire_Date]],"ddd")</f>
        <v>Sun</v>
      </c>
      <c r="N34" s="4" t="str">
        <f t="shared" si="1"/>
        <v>May</v>
      </c>
      <c r="O34" s="4" t="str">
        <f t="shared" si="2"/>
        <v>2020</v>
      </c>
      <c r="P34">
        <v>9</v>
      </c>
      <c r="Q34">
        <v>34</v>
      </c>
      <c r="R34" t="s">
        <v>78</v>
      </c>
      <c r="S34">
        <v>89</v>
      </c>
    </row>
    <row r="35" spans="1:19" x14ac:dyDescent="0.3">
      <c r="A35" t="str">
        <f t="shared" si="3"/>
        <v>EMP034</v>
      </c>
      <c r="B35" t="s">
        <v>59</v>
      </c>
      <c r="C35">
        <v>48</v>
      </c>
      <c r="D35" t="s">
        <v>68</v>
      </c>
      <c r="E35" t="s">
        <v>129</v>
      </c>
      <c r="F35" t="s">
        <v>18</v>
      </c>
      <c r="G35" t="s">
        <v>36</v>
      </c>
      <c r="H35" s="6" t="s">
        <v>62</v>
      </c>
      <c r="I35" s="3">
        <v>577002.07999999996</v>
      </c>
      <c r="J35" t="s">
        <v>64</v>
      </c>
      <c r="K35" t="s">
        <v>22</v>
      </c>
      <c r="L35" s="4">
        <v>45461</v>
      </c>
      <c r="M35" s="4" t="str">
        <f>TEXT(Table2[[#This Row],[Hire_Date]],"ddd")</f>
        <v>Tue</v>
      </c>
      <c r="N35" s="4" t="str">
        <f t="shared" si="1"/>
        <v>Jun</v>
      </c>
      <c r="O35" s="4" t="str">
        <f t="shared" si="2"/>
        <v>2024</v>
      </c>
      <c r="P35">
        <v>1.5</v>
      </c>
      <c r="Q35">
        <v>13</v>
      </c>
      <c r="R35" t="s">
        <v>78</v>
      </c>
      <c r="S35">
        <v>59</v>
      </c>
    </row>
    <row r="36" spans="1:19" x14ac:dyDescent="0.3">
      <c r="A36" t="str">
        <f t="shared" si="3"/>
        <v>EMP035</v>
      </c>
      <c r="B36" t="s">
        <v>794</v>
      </c>
      <c r="C36" t="s">
        <v>887</v>
      </c>
      <c r="D36" t="s">
        <v>68</v>
      </c>
      <c r="E36" t="s">
        <v>129</v>
      </c>
      <c r="F36" t="s">
        <v>61</v>
      </c>
      <c r="G36" t="s">
        <v>43</v>
      </c>
      <c r="H36" s="6" t="s">
        <v>28</v>
      </c>
      <c r="I36" s="3">
        <v>468955.13</v>
      </c>
      <c r="J36" t="s">
        <v>189</v>
      </c>
      <c r="K36" t="s">
        <v>22</v>
      </c>
      <c r="L36" s="4">
        <v>42831</v>
      </c>
      <c r="M36" s="4" t="str">
        <f>TEXT(Table2[[#This Row],[Hire_Date]],"ddd")</f>
        <v>Thu</v>
      </c>
      <c r="N36" s="4" t="str">
        <f t="shared" si="1"/>
        <v>Apr</v>
      </c>
      <c r="O36" s="4" t="str">
        <f t="shared" si="2"/>
        <v>2017</v>
      </c>
      <c r="P36">
        <v>2</v>
      </c>
      <c r="Q36">
        <v>2</v>
      </c>
      <c r="R36" t="s">
        <v>78</v>
      </c>
      <c r="S36">
        <v>30</v>
      </c>
    </row>
    <row r="37" spans="1:19" x14ac:dyDescent="0.3">
      <c r="A37" t="str">
        <f t="shared" si="3"/>
        <v>EMP036</v>
      </c>
      <c r="B37" t="s">
        <v>795</v>
      </c>
      <c r="C37">
        <v>47</v>
      </c>
      <c r="D37" t="s">
        <v>16</v>
      </c>
      <c r="E37" t="s">
        <v>76</v>
      </c>
      <c r="F37" t="s">
        <v>93</v>
      </c>
      <c r="G37" t="s">
        <v>43</v>
      </c>
      <c r="H37" s="6" t="s">
        <v>62</v>
      </c>
      <c r="I37" s="3">
        <v>592928.94999999995</v>
      </c>
      <c r="J37" t="s">
        <v>192</v>
      </c>
      <c r="K37" t="s">
        <v>193</v>
      </c>
      <c r="L37" s="4">
        <v>45293</v>
      </c>
      <c r="M37" s="4" t="str">
        <f>TEXT(Table2[[#This Row],[Hire_Date]],"ddd")</f>
        <v>Tue</v>
      </c>
      <c r="N37" s="4" t="str">
        <f t="shared" si="1"/>
        <v>Jan</v>
      </c>
      <c r="O37" s="4" t="str">
        <f t="shared" si="2"/>
        <v>2024</v>
      </c>
      <c r="P37">
        <v>7.5</v>
      </c>
      <c r="Q37">
        <v>14</v>
      </c>
      <c r="R37" t="s">
        <v>39</v>
      </c>
      <c r="S37">
        <v>42</v>
      </c>
    </row>
    <row r="38" spans="1:19" x14ac:dyDescent="0.3">
      <c r="A38" t="str">
        <f t="shared" si="3"/>
        <v>EMP037</v>
      </c>
      <c r="B38" t="s">
        <v>195</v>
      </c>
      <c r="C38">
        <v>38</v>
      </c>
      <c r="D38" t="s">
        <v>16</v>
      </c>
      <c r="E38" t="s">
        <v>121</v>
      </c>
      <c r="F38" t="s">
        <v>93</v>
      </c>
      <c r="G38" t="s">
        <v>94</v>
      </c>
      <c r="H38" s="6" t="s">
        <v>28</v>
      </c>
      <c r="I38" s="3">
        <v>744549.23</v>
      </c>
      <c r="J38" t="s">
        <v>196</v>
      </c>
      <c r="K38" t="s">
        <v>197</v>
      </c>
      <c r="L38" s="4">
        <v>41244</v>
      </c>
      <c r="M38" s="4" t="str">
        <f>TEXT(Table2[[#This Row],[Hire_Date]],"ddd")</f>
        <v>Sat</v>
      </c>
      <c r="N38" s="4" t="str">
        <f t="shared" si="1"/>
        <v>Dec</v>
      </c>
      <c r="O38" s="4" t="str">
        <f t="shared" si="2"/>
        <v>2012</v>
      </c>
      <c r="P38">
        <v>6.2</v>
      </c>
      <c r="Q38">
        <v>14</v>
      </c>
      <c r="R38" t="s">
        <v>78</v>
      </c>
      <c r="S38">
        <v>37</v>
      </c>
    </row>
    <row r="39" spans="1:19" x14ac:dyDescent="0.3">
      <c r="A39" t="str">
        <f t="shared" si="3"/>
        <v>EMP038</v>
      </c>
      <c r="B39" t="s">
        <v>796</v>
      </c>
      <c r="C39">
        <v>57</v>
      </c>
      <c r="D39" t="s">
        <v>16</v>
      </c>
      <c r="E39" t="s">
        <v>129</v>
      </c>
      <c r="F39" t="s">
        <v>18</v>
      </c>
      <c r="G39" t="s">
        <v>43</v>
      </c>
      <c r="H39" s="6" t="s">
        <v>62</v>
      </c>
      <c r="I39" s="3">
        <v>0</v>
      </c>
      <c r="J39" t="s">
        <v>200</v>
      </c>
      <c r="K39" t="s">
        <v>201</v>
      </c>
      <c r="L39" s="4" t="s">
        <v>202</v>
      </c>
      <c r="M39" s="4" t="str">
        <f>TEXT(Table2[[#This Row],[Hire_Date]],"ddd")</f>
        <v>15/11/2017</v>
      </c>
      <c r="N39" s="4" t="str">
        <f t="shared" si="1"/>
        <v>15/11/2017</v>
      </c>
      <c r="O39" s="4" t="str">
        <f t="shared" si="2"/>
        <v>15/11/2017</v>
      </c>
      <c r="P39">
        <v>4.0999999999999996</v>
      </c>
      <c r="Q39">
        <v>5</v>
      </c>
      <c r="R39" t="s">
        <v>78</v>
      </c>
      <c r="S39">
        <v>62</v>
      </c>
    </row>
    <row r="40" spans="1:19" x14ac:dyDescent="0.3">
      <c r="A40" t="str">
        <f t="shared" si="3"/>
        <v>EMP039</v>
      </c>
      <c r="B40" t="s">
        <v>203</v>
      </c>
      <c r="C40">
        <v>49</v>
      </c>
      <c r="D40" t="s">
        <v>16</v>
      </c>
      <c r="E40" t="s">
        <v>121</v>
      </c>
      <c r="F40" t="s">
        <v>61</v>
      </c>
      <c r="G40" t="s">
        <v>19</v>
      </c>
      <c r="H40" s="6" t="s">
        <v>44</v>
      </c>
      <c r="I40" s="3">
        <v>0</v>
      </c>
      <c r="J40" t="s">
        <v>204</v>
      </c>
      <c r="K40" t="s">
        <v>205</v>
      </c>
      <c r="L40" s="4">
        <v>44495</v>
      </c>
      <c r="M40" s="4" t="str">
        <f>TEXT(Table2[[#This Row],[Hire_Date]],"ddd")</f>
        <v>Tue</v>
      </c>
      <c r="N40" s="4" t="str">
        <f t="shared" si="1"/>
        <v>Oct</v>
      </c>
      <c r="O40" s="4" t="str">
        <f t="shared" si="2"/>
        <v>2021</v>
      </c>
      <c r="P40">
        <v>3.6</v>
      </c>
      <c r="Q40">
        <v>27</v>
      </c>
      <c r="R40" t="s">
        <v>78</v>
      </c>
      <c r="S40">
        <v>23</v>
      </c>
    </row>
    <row r="41" spans="1:19" x14ac:dyDescent="0.3">
      <c r="A41" t="str">
        <f t="shared" si="3"/>
        <v>EMP040</v>
      </c>
      <c r="B41" t="s">
        <v>207</v>
      </c>
      <c r="C41">
        <v>24</v>
      </c>
      <c r="D41" t="s">
        <v>68</v>
      </c>
      <c r="E41" t="s">
        <v>129</v>
      </c>
      <c r="F41" t="s">
        <v>48</v>
      </c>
      <c r="G41" t="s">
        <v>43</v>
      </c>
      <c r="H41" s="6" t="s">
        <v>28</v>
      </c>
      <c r="I41" s="3">
        <v>136061.07999999999</v>
      </c>
      <c r="J41" t="s">
        <v>208</v>
      </c>
      <c r="K41" t="s">
        <v>209</v>
      </c>
      <c r="L41" s="4">
        <v>43497</v>
      </c>
      <c r="M41" s="4" t="str">
        <f>TEXT(Table2[[#This Row],[Hire_Date]],"ddd")</f>
        <v>Fri</v>
      </c>
      <c r="N41" s="4" t="str">
        <f t="shared" si="1"/>
        <v>Feb</v>
      </c>
      <c r="O41" s="4" t="str">
        <f t="shared" si="2"/>
        <v>2019</v>
      </c>
      <c r="P41">
        <v>4.5999999999999996</v>
      </c>
      <c r="Q41">
        <v>21</v>
      </c>
      <c r="R41" t="s">
        <v>39</v>
      </c>
      <c r="S41">
        <v>51</v>
      </c>
    </row>
    <row r="42" spans="1:19" x14ac:dyDescent="0.3">
      <c r="A42" t="str">
        <f t="shared" si="3"/>
        <v>EMP041</v>
      </c>
      <c r="B42" t="s">
        <v>611</v>
      </c>
      <c r="C42">
        <v>44</v>
      </c>
      <c r="D42" t="s">
        <v>887</v>
      </c>
      <c r="E42" t="s">
        <v>76</v>
      </c>
      <c r="F42" t="s">
        <v>35</v>
      </c>
      <c r="G42" t="s">
        <v>36</v>
      </c>
      <c r="H42" s="6" t="s">
        <v>135</v>
      </c>
      <c r="I42" s="3">
        <v>666827</v>
      </c>
      <c r="J42" t="s">
        <v>213</v>
      </c>
      <c r="K42" t="s">
        <v>214</v>
      </c>
      <c r="L42" s="4">
        <v>41630</v>
      </c>
      <c r="M42" s="4" t="str">
        <f>TEXT(Table2[[#This Row],[Hire_Date]],"ddd")</f>
        <v>Sun</v>
      </c>
      <c r="N42" s="4" t="str">
        <f t="shared" si="1"/>
        <v>Dec</v>
      </c>
      <c r="O42" s="4" t="str">
        <f t="shared" si="2"/>
        <v>2013</v>
      </c>
      <c r="P42">
        <v>8.8000000000000007</v>
      </c>
      <c r="Q42">
        <v>4</v>
      </c>
      <c r="R42" t="s">
        <v>78</v>
      </c>
      <c r="S42">
        <v>28</v>
      </c>
    </row>
    <row r="43" spans="1:19" x14ac:dyDescent="0.3">
      <c r="A43" t="str">
        <f t="shared" si="3"/>
        <v>EMP042</v>
      </c>
      <c r="B43" t="s">
        <v>797</v>
      </c>
      <c r="C43">
        <v>51</v>
      </c>
      <c r="D43" t="s">
        <v>68</v>
      </c>
      <c r="E43" t="s">
        <v>115</v>
      </c>
      <c r="F43" t="s">
        <v>61</v>
      </c>
      <c r="G43" t="s">
        <v>94</v>
      </c>
      <c r="H43" s="6" t="s">
        <v>62</v>
      </c>
      <c r="I43" s="3">
        <v>678821.57</v>
      </c>
      <c r="J43" t="s">
        <v>217</v>
      </c>
      <c r="K43" t="s">
        <v>218</v>
      </c>
      <c r="L43" s="4">
        <v>43969</v>
      </c>
      <c r="M43" s="4" t="str">
        <f>TEXT(Table2[[#This Row],[Hire_Date]],"ddd")</f>
        <v>Mon</v>
      </c>
      <c r="N43" s="4" t="str">
        <f t="shared" si="1"/>
        <v>May</v>
      </c>
      <c r="O43" s="4" t="str">
        <f t="shared" si="2"/>
        <v>2020</v>
      </c>
      <c r="P43">
        <v>1.9</v>
      </c>
      <c r="Q43">
        <v>5</v>
      </c>
      <c r="R43" t="s">
        <v>39</v>
      </c>
      <c r="S43">
        <v>0</v>
      </c>
    </row>
    <row r="44" spans="1:19" x14ac:dyDescent="0.3">
      <c r="A44" t="str">
        <f t="shared" si="3"/>
        <v>EMP043</v>
      </c>
      <c r="B44" t="s">
        <v>798</v>
      </c>
      <c r="C44">
        <v>55</v>
      </c>
      <c r="D44" t="s">
        <v>887</v>
      </c>
      <c r="E44" t="s">
        <v>17</v>
      </c>
      <c r="F44" t="s">
        <v>18</v>
      </c>
      <c r="G44" t="s">
        <v>19</v>
      </c>
      <c r="H44" s="6" t="s">
        <v>135</v>
      </c>
      <c r="I44" s="3">
        <v>740914.49</v>
      </c>
      <c r="J44" t="s">
        <v>221</v>
      </c>
      <c r="K44" t="s">
        <v>222</v>
      </c>
      <c r="L44" s="4">
        <v>40718</v>
      </c>
      <c r="M44" s="4" t="str">
        <f>TEXT(Table2[[#This Row],[Hire_Date]],"ddd")</f>
        <v>Fri</v>
      </c>
      <c r="N44" s="4" t="str">
        <f t="shared" si="1"/>
        <v>Jun</v>
      </c>
      <c r="O44" s="4" t="str">
        <f t="shared" si="2"/>
        <v>2011</v>
      </c>
      <c r="P44">
        <v>3.8</v>
      </c>
      <c r="Q44">
        <v>8</v>
      </c>
      <c r="R44" t="s">
        <v>78</v>
      </c>
      <c r="S44">
        <v>38</v>
      </c>
    </row>
    <row r="45" spans="1:19" x14ac:dyDescent="0.3">
      <c r="A45" t="str">
        <f t="shared" si="3"/>
        <v>EMP044</v>
      </c>
      <c r="B45" t="s">
        <v>224</v>
      </c>
      <c r="C45">
        <v>55</v>
      </c>
      <c r="D45" t="s">
        <v>68</v>
      </c>
      <c r="E45" t="s">
        <v>34</v>
      </c>
      <c r="F45" t="s">
        <v>48</v>
      </c>
      <c r="G45" t="s">
        <v>43</v>
      </c>
      <c r="H45" s="6" t="s">
        <v>62</v>
      </c>
      <c r="I45" s="3">
        <v>446111.71</v>
      </c>
      <c r="J45" t="s">
        <v>225</v>
      </c>
      <c r="K45" t="s">
        <v>226</v>
      </c>
      <c r="L45" s="4">
        <v>42034</v>
      </c>
      <c r="M45" s="4" t="str">
        <f>TEXT(Table2[[#This Row],[Hire_Date]],"ddd")</f>
        <v>Fri</v>
      </c>
      <c r="N45" s="4" t="str">
        <f t="shared" si="1"/>
        <v>Jan</v>
      </c>
      <c r="O45" s="4" t="str">
        <f t="shared" si="2"/>
        <v>2015</v>
      </c>
      <c r="P45">
        <v>7</v>
      </c>
      <c r="Q45">
        <v>24</v>
      </c>
      <c r="R45" t="s">
        <v>39</v>
      </c>
      <c r="S45">
        <v>77</v>
      </c>
    </row>
    <row r="46" spans="1:19" x14ac:dyDescent="0.3">
      <c r="A46" t="str">
        <f t="shared" si="3"/>
        <v>EMP045</v>
      </c>
      <c r="B46" t="s">
        <v>228</v>
      </c>
      <c r="C46">
        <v>48</v>
      </c>
      <c r="D46" t="s">
        <v>68</v>
      </c>
      <c r="E46" t="s">
        <v>76</v>
      </c>
      <c r="F46" t="s">
        <v>88</v>
      </c>
      <c r="G46" t="s">
        <v>43</v>
      </c>
      <c r="H46" s="6" t="s">
        <v>62</v>
      </c>
      <c r="I46" s="3">
        <v>778103.79</v>
      </c>
      <c r="J46" t="s">
        <v>229</v>
      </c>
      <c r="K46" t="s">
        <v>230</v>
      </c>
      <c r="L46" s="4">
        <v>44021</v>
      </c>
      <c r="M46" s="4" t="str">
        <f>TEXT(Table2[[#This Row],[Hire_Date]],"ddd")</f>
        <v>Thu</v>
      </c>
      <c r="N46" s="4" t="str">
        <f t="shared" si="1"/>
        <v>Jul</v>
      </c>
      <c r="O46" s="4" t="str">
        <f t="shared" si="2"/>
        <v>2020</v>
      </c>
      <c r="P46">
        <v>4.8</v>
      </c>
      <c r="Q46">
        <v>8</v>
      </c>
      <c r="R46" t="s">
        <v>78</v>
      </c>
      <c r="S46">
        <v>87</v>
      </c>
    </row>
    <row r="47" spans="1:19" x14ac:dyDescent="0.3">
      <c r="A47" t="str">
        <f t="shared" si="3"/>
        <v>EMP046</v>
      </c>
      <c r="B47" t="s">
        <v>799</v>
      </c>
      <c r="C47">
        <v>29</v>
      </c>
      <c r="D47" t="s">
        <v>68</v>
      </c>
      <c r="E47" t="s">
        <v>115</v>
      </c>
      <c r="F47" t="s">
        <v>18</v>
      </c>
      <c r="G47" t="s">
        <v>43</v>
      </c>
      <c r="H47" s="6" t="s">
        <v>135</v>
      </c>
      <c r="I47" s="3">
        <v>0</v>
      </c>
      <c r="J47" t="s">
        <v>233</v>
      </c>
      <c r="K47" t="s">
        <v>234</v>
      </c>
      <c r="L47" s="4">
        <v>40397</v>
      </c>
      <c r="M47" s="4" t="str">
        <f>TEXT(Table2[[#This Row],[Hire_Date]],"ddd")</f>
        <v>Sat</v>
      </c>
      <c r="N47" s="4" t="str">
        <f t="shared" si="1"/>
        <v>Aug</v>
      </c>
      <c r="O47" s="4" t="str">
        <f t="shared" si="2"/>
        <v>2010</v>
      </c>
      <c r="P47">
        <v>8.1</v>
      </c>
      <c r="Q47">
        <v>30</v>
      </c>
      <c r="R47" t="s">
        <v>78</v>
      </c>
      <c r="S47">
        <v>47</v>
      </c>
    </row>
    <row r="48" spans="1:19" x14ac:dyDescent="0.3">
      <c r="A48" t="str">
        <f t="shared" si="3"/>
        <v>EMP047</v>
      </c>
      <c r="B48" t="s">
        <v>236</v>
      </c>
      <c r="C48">
        <v>38</v>
      </c>
      <c r="D48" t="s">
        <v>68</v>
      </c>
      <c r="E48" t="s">
        <v>55</v>
      </c>
      <c r="F48" t="s">
        <v>35</v>
      </c>
      <c r="G48" t="s">
        <v>36</v>
      </c>
      <c r="H48" s="6" t="s">
        <v>62</v>
      </c>
      <c r="I48" s="3">
        <v>756962.68</v>
      </c>
      <c r="J48" t="s">
        <v>237</v>
      </c>
      <c r="K48" t="s">
        <v>238</v>
      </c>
      <c r="L48" s="4">
        <v>42132</v>
      </c>
      <c r="M48" s="4" t="str">
        <f>TEXT(Table2[[#This Row],[Hire_Date]],"ddd")</f>
        <v>Fri</v>
      </c>
      <c r="N48" s="4" t="str">
        <f t="shared" si="1"/>
        <v>May</v>
      </c>
      <c r="O48" s="4" t="str">
        <f t="shared" si="2"/>
        <v>2015</v>
      </c>
      <c r="P48">
        <v>0</v>
      </c>
      <c r="Q48">
        <v>22</v>
      </c>
      <c r="R48" t="s">
        <v>78</v>
      </c>
      <c r="S48">
        <v>67</v>
      </c>
    </row>
    <row r="49" spans="1:19" x14ac:dyDescent="0.3">
      <c r="A49" t="str">
        <f t="shared" si="3"/>
        <v>EMP048</v>
      </c>
      <c r="B49" t="s">
        <v>800</v>
      </c>
      <c r="C49">
        <v>56</v>
      </c>
      <c r="D49" t="s">
        <v>68</v>
      </c>
      <c r="E49" t="s">
        <v>55</v>
      </c>
      <c r="F49" t="s">
        <v>70</v>
      </c>
      <c r="G49" t="s">
        <v>94</v>
      </c>
      <c r="H49" s="6" t="s">
        <v>135</v>
      </c>
      <c r="I49" s="3">
        <v>478989.41</v>
      </c>
      <c r="J49" t="s">
        <v>241</v>
      </c>
      <c r="K49"/>
      <c r="L49" s="4">
        <v>40312</v>
      </c>
      <c r="M49" s="4" t="str">
        <f>TEXT(Table2[[#This Row],[Hire_Date]],"ddd")</f>
        <v>Fri</v>
      </c>
      <c r="N49" s="4" t="str">
        <f t="shared" si="1"/>
        <v>May</v>
      </c>
      <c r="O49" s="4" t="str">
        <f t="shared" si="2"/>
        <v>2010</v>
      </c>
      <c r="P49">
        <v>5.9</v>
      </c>
      <c r="Q49">
        <v>29</v>
      </c>
      <c r="R49" t="s">
        <v>887</v>
      </c>
      <c r="S49">
        <v>81</v>
      </c>
    </row>
    <row r="50" spans="1:19" x14ac:dyDescent="0.3">
      <c r="A50" t="str">
        <f t="shared" si="3"/>
        <v>EMP049</v>
      </c>
      <c r="B50" t="s">
        <v>801</v>
      </c>
      <c r="C50">
        <v>24</v>
      </c>
      <c r="D50" t="s">
        <v>68</v>
      </c>
      <c r="E50" t="s">
        <v>115</v>
      </c>
      <c r="F50" t="s">
        <v>61</v>
      </c>
      <c r="G50" t="s">
        <v>94</v>
      </c>
      <c r="H50" s="6" t="s">
        <v>887</v>
      </c>
      <c r="I50" s="3">
        <v>307228.99</v>
      </c>
      <c r="J50" t="s">
        <v>244</v>
      </c>
      <c r="K50" t="s">
        <v>245</v>
      </c>
      <c r="L50" s="4">
        <v>45478</v>
      </c>
      <c r="M50" s="4" t="str">
        <f>TEXT(Table2[[#This Row],[Hire_Date]],"ddd")</f>
        <v>Fri</v>
      </c>
      <c r="N50" s="4" t="str">
        <f t="shared" si="1"/>
        <v>Jul</v>
      </c>
      <c r="O50" s="4" t="str">
        <f t="shared" si="2"/>
        <v>2024</v>
      </c>
      <c r="P50">
        <v>4.0999999999999996</v>
      </c>
      <c r="Q50">
        <v>23</v>
      </c>
      <c r="R50" t="s">
        <v>39</v>
      </c>
      <c r="S50">
        <v>8</v>
      </c>
    </row>
    <row r="51" spans="1:19" x14ac:dyDescent="0.3">
      <c r="A51" t="str">
        <f t="shared" si="3"/>
        <v>EMP050</v>
      </c>
      <c r="B51" t="s">
        <v>802</v>
      </c>
      <c r="C51">
        <v>56</v>
      </c>
      <c r="D51" t="s">
        <v>16</v>
      </c>
      <c r="E51" t="s">
        <v>129</v>
      </c>
      <c r="F51" t="s">
        <v>18</v>
      </c>
      <c r="G51" t="s">
        <v>43</v>
      </c>
      <c r="H51" s="6" t="s">
        <v>62</v>
      </c>
      <c r="I51" s="3">
        <v>316102.33</v>
      </c>
      <c r="J51" t="s">
        <v>248</v>
      </c>
      <c r="K51" t="s">
        <v>249</v>
      </c>
      <c r="L51" s="4">
        <v>43841</v>
      </c>
      <c r="M51" s="4" t="str">
        <f>TEXT(Table2[[#This Row],[Hire_Date]],"ddd")</f>
        <v>Sat</v>
      </c>
      <c r="N51" s="4" t="str">
        <f t="shared" si="1"/>
        <v>Jan</v>
      </c>
      <c r="O51" s="4" t="str">
        <f t="shared" si="2"/>
        <v>2020</v>
      </c>
      <c r="P51">
        <v>9.6</v>
      </c>
      <c r="Q51" t="s">
        <v>887</v>
      </c>
      <c r="R51" t="s">
        <v>78</v>
      </c>
      <c r="S51">
        <v>65</v>
      </c>
    </row>
    <row r="52" spans="1:19" x14ac:dyDescent="0.3">
      <c r="A52" t="str">
        <f t="shared" si="3"/>
        <v>EMP051</v>
      </c>
      <c r="B52" t="s">
        <v>251</v>
      </c>
      <c r="C52">
        <v>60</v>
      </c>
      <c r="D52" t="s">
        <v>16</v>
      </c>
      <c r="E52" t="s">
        <v>34</v>
      </c>
      <c r="F52" t="s">
        <v>61</v>
      </c>
      <c r="G52" t="s">
        <v>94</v>
      </c>
      <c r="H52" s="6" t="s">
        <v>62</v>
      </c>
      <c r="I52" s="3">
        <v>347094</v>
      </c>
      <c r="J52" t="s">
        <v>253</v>
      </c>
      <c r="K52" t="s">
        <v>254</v>
      </c>
      <c r="L52" s="4">
        <v>42223</v>
      </c>
      <c r="M52" s="4" t="str">
        <f>TEXT(Table2[[#This Row],[Hire_Date]],"ddd")</f>
        <v>Fri</v>
      </c>
      <c r="N52" s="4" t="str">
        <f t="shared" si="1"/>
        <v>Aug</v>
      </c>
      <c r="O52" s="4" t="str">
        <f t="shared" si="2"/>
        <v>2015</v>
      </c>
      <c r="P52">
        <v>10</v>
      </c>
      <c r="Q52">
        <v>31</v>
      </c>
      <c r="R52" t="s">
        <v>78</v>
      </c>
      <c r="S52">
        <v>45</v>
      </c>
    </row>
    <row r="53" spans="1:19" x14ac:dyDescent="0.3">
      <c r="A53" t="str">
        <f t="shared" si="3"/>
        <v>EMP052</v>
      </c>
      <c r="B53" t="s">
        <v>256</v>
      </c>
      <c r="C53">
        <v>42</v>
      </c>
      <c r="D53" t="s">
        <v>68</v>
      </c>
      <c r="E53" t="s">
        <v>76</v>
      </c>
      <c r="F53" t="s">
        <v>70</v>
      </c>
      <c r="G53" t="s">
        <v>94</v>
      </c>
      <c r="H53" s="6" t="s">
        <v>62</v>
      </c>
      <c r="I53" s="3">
        <v>475997.95</v>
      </c>
      <c r="J53" t="s">
        <v>258</v>
      </c>
      <c r="K53" t="s">
        <v>259</v>
      </c>
      <c r="L53" s="4">
        <v>43140</v>
      </c>
      <c r="M53" s="4" t="str">
        <f>TEXT(Table2[[#This Row],[Hire_Date]],"ddd")</f>
        <v>Fri</v>
      </c>
      <c r="N53" s="4" t="str">
        <f t="shared" si="1"/>
        <v>Feb</v>
      </c>
      <c r="O53" s="4" t="str">
        <f t="shared" si="2"/>
        <v>2018</v>
      </c>
      <c r="P53">
        <v>8.1999999999999993</v>
      </c>
      <c r="Q53">
        <v>5</v>
      </c>
      <c r="R53" t="s">
        <v>39</v>
      </c>
      <c r="S53">
        <v>72</v>
      </c>
    </row>
    <row r="54" spans="1:19" x14ac:dyDescent="0.3">
      <c r="A54" t="str">
        <f t="shared" si="3"/>
        <v>EMP053</v>
      </c>
      <c r="B54" t="s">
        <v>803</v>
      </c>
      <c r="C54">
        <v>26</v>
      </c>
      <c r="D54" t="s">
        <v>68</v>
      </c>
      <c r="E54" t="s">
        <v>34</v>
      </c>
      <c r="F54" t="s">
        <v>18</v>
      </c>
      <c r="G54" t="s">
        <v>94</v>
      </c>
      <c r="H54" s="6" t="s">
        <v>62</v>
      </c>
      <c r="I54" s="3">
        <v>133398.81</v>
      </c>
      <c r="J54" t="s">
        <v>262</v>
      </c>
      <c r="K54"/>
      <c r="L54" s="4">
        <v>45172</v>
      </c>
      <c r="M54" s="4" t="str">
        <f>TEXT(Table2[[#This Row],[Hire_Date]],"ddd")</f>
        <v>Sun</v>
      </c>
      <c r="N54" s="4" t="str">
        <f t="shared" si="1"/>
        <v>Sep</v>
      </c>
      <c r="O54" s="4" t="str">
        <f t="shared" si="2"/>
        <v>2023</v>
      </c>
      <c r="P54">
        <v>4.0999999999999996</v>
      </c>
      <c r="Q54">
        <v>5</v>
      </c>
      <c r="R54" t="s">
        <v>39</v>
      </c>
      <c r="S54">
        <v>27</v>
      </c>
    </row>
    <row r="55" spans="1:19" x14ac:dyDescent="0.3">
      <c r="A55" t="str">
        <f t="shared" si="3"/>
        <v>EMP054</v>
      </c>
      <c r="B55" t="s">
        <v>264</v>
      </c>
      <c r="C55">
        <v>54</v>
      </c>
      <c r="D55" t="s">
        <v>16</v>
      </c>
      <c r="E55" t="s">
        <v>55</v>
      </c>
      <c r="F55" t="s">
        <v>42</v>
      </c>
      <c r="G55" t="s">
        <v>43</v>
      </c>
      <c r="H55" s="6" t="s">
        <v>44</v>
      </c>
      <c r="I55" s="3">
        <v>498065.48</v>
      </c>
      <c r="J55" t="s">
        <v>265</v>
      </c>
      <c r="K55" t="s">
        <v>266</v>
      </c>
      <c r="L55" s="4">
        <v>40411</v>
      </c>
      <c r="M55" s="4" t="str">
        <f>TEXT(Table2[[#This Row],[Hire_Date]],"ddd")</f>
        <v>Sat</v>
      </c>
      <c r="N55" s="4" t="str">
        <f t="shared" si="1"/>
        <v>Aug</v>
      </c>
      <c r="O55" s="4" t="str">
        <f t="shared" si="2"/>
        <v>2010</v>
      </c>
      <c r="P55">
        <v>6.8</v>
      </c>
      <c r="Q55">
        <v>25</v>
      </c>
      <c r="R55" t="s">
        <v>39</v>
      </c>
      <c r="S55">
        <v>16</v>
      </c>
    </row>
    <row r="56" spans="1:19" x14ac:dyDescent="0.3">
      <c r="A56" t="str">
        <f t="shared" si="3"/>
        <v>EMP055</v>
      </c>
      <c r="B56" t="s">
        <v>804</v>
      </c>
      <c r="C56">
        <v>60</v>
      </c>
      <c r="D56" t="s">
        <v>16</v>
      </c>
      <c r="E56" t="s">
        <v>129</v>
      </c>
      <c r="F56" t="s">
        <v>35</v>
      </c>
      <c r="G56" t="s">
        <v>36</v>
      </c>
      <c r="H56" s="6" t="s">
        <v>887</v>
      </c>
      <c r="I56" s="3">
        <v>309907.8</v>
      </c>
      <c r="J56" t="s">
        <v>269</v>
      </c>
      <c r="K56" t="s">
        <v>22</v>
      </c>
      <c r="L56" s="4">
        <v>41048</v>
      </c>
      <c r="M56" s="4" t="str">
        <f>TEXT(Table2[[#This Row],[Hire_Date]],"ddd")</f>
        <v>Sat</v>
      </c>
      <c r="N56" s="4" t="str">
        <f t="shared" si="1"/>
        <v>May</v>
      </c>
      <c r="O56" s="4" t="str">
        <f t="shared" si="2"/>
        <v>2012</v>
      </c>
      <c r="P56">
        <v>3.2</v>
      </c>
      <c r="Q56">
        <v>20</v>
      </c>
      <c r="R56" t="s">
        <v>78</v>
      </c>
      <c r="S56">
        <v>76</v>
      </c>
    </row>
    <row r="57" spans="1:19" x14ac:dyDescent="0.3">
      <c r="A57" t="str">
        <f t="shared" si="3"/>
        <v>EMP056</v>
      </c>
      <c r="B57" t="s">
        <v>805</v>
      </c>
      <c r="C57" t="s">
        <v>887</v>
      </c>
      <c r="D57" t="s">
        <v>16</v>
      </c>
      <c r="E57" t="s">
        <v>115</v>
      </c>
      <c r="F57" t="s">
        <v>61</v>
      </c>
      <c r="G57" t="s">
        <v>43</v>
      </c>
      <c r="H57" s="6" t="s">
        <v>62</v>
      </c>
      <c r="I57" s="3">
        <v>776014.37</v>
      </c>
      <c r="J57" t="s">
        <v>272</v>
      </c>
      <c r="K57"/>
      <c r="L57" s="4">
        <v>44034</v>
      </c>
      <c r="M57" s="4" t="str">
        <f>TEXT(Table2[[#This Row],[Hire_Date]],"ddd")</f>
        <v>Wed</v>
      </c>
      <c r="N57" s="4" t="str">
        <f t="shared" si="1"/>
        <v>Jul</v>
      </c>
      <c r="O57" s="4" t="str">
        <f t="shared" si="2"/>
        <v>2020</v>
      </c>
      <c r="P57">
        <v>6.1</v>
      </c>
      <c r="Q57">
        <v>4</v>
      </c>
      <c r="R57" t="s">
        <v>887</v>
      </c>
      <c r="S57">
        <v>28</v>
      </c>
    </row>
    <row r="58" spans="1:19" x14ac:dyDescent="0.3">
      <c r="A58" t="str">
        <f t="shared" si="3"/>
        <v>EMP057</v>
      </c>
      <c r="B58" t="s">
        <v>274</v>
      </c>
      <c r="C58">
        <v>47</v>
      </c>
      <c r="D58" t="s">
        <v>33</v>
      </c>
      <c r="E58" t="s">
        <v>17</v>
      </c>
      <c r="F58" t="s">
        <v>35</v>
      </c>
      <c r="G58" t="s">
        <v>19</v>
      </c>
      <c r="H58" s="6" t="s">
        <v>887</v>
      </c>
      <c r="I58" s="3">
        <v>481638.92</v>
      </c>
      <c r="J58" t="s">
        <v>275</v>
      </c>
      <c r="K58" t="s">
        <v>276</v>
      </c>
      <c r="L58" s="4">
        <v>41301</v>
      </c>
      <c r="M58" s="4" t="str">
        <f>TEXT(Table2[[#This Row],[Hire_Date]],"ddd")</f>
        <v>Sun</v>
      </c>
      <c r="N58" s="4" t="str">
        <f t="shared" si="1"/>
        <v>Jan</v>
      </c>
      <c r="O58" s="4" t="str">
        <f t="shared" si="2"/>
        <v>2013</v>
      </c>
      <c r="P58">
        <v>9.9</v>
      </c>
      <c r="Q58">
        <v>21</v>
      </c>
      <c r="R58" t="s">
        <v>78</v>
      </c>
      <c r="S58">
        <v>71</v>
      </c>
    </row>
    <row r="59" spans="1:19" x14ac:dyDescent="0.3">
      <c r="A59" t="str">
        <f t="shared" si="3"/>
        <v>EMP058</v>
      </c>
      <c r="B59" t="s">
        <v>806</v>
      </c>
      <c r="C59">
        <v>43</v>
      </c>
      <c r="D59" t="s">
        <v>887</v>
      </c>
      <c r="E59" t="s">
        <v>99</v>
      </c>
      <c r="F59" t="s">
        <v>61</v>
      </c>
      <c r="G59" t="s">
        <v>94</v>
      </c>
      <c r="H59" s="6" t="s">
        <v>28</v>
      </c>
      <c r="I59" s="3">
        <v>500265.54</v>
      </c>
      <c r="J59" t="s">
        <v>887</v>
      </c>
      <c r="K59"/>
      <c r="L59" s="4">
        <v>44917</v>
      </c>
      <c r="M59" s="4" t="str">
        <f>TEXT(Table2[[#This Row],[Hire_Date]],"ddd")</f>
        <v>Thu</v>
      </c>
      <c r="N59" s="4" t="str">
        <f t="shared" si="1"/>
        <v>Dec</v>
      </c>
      <c r="O59" s="4" t="str">
        <f t="shared" si="2"/>
        <v>2022</v>
      </c>
      <c r="P59">
        <v>0</v>
      </c>
      <c r="Q59">
        <v>20</v>
      </c>
      <c r="R59" t="s">
        <v>78</v>
      </c>
      <c r="S59">
        <v>41</v>
      </c>
    </row>
    <row r="60" spans="1:19" x14ac:dyDescent="0.3">
      <c r="A60" t="str">
        <f t="shared" si="3"/>
        <v>EMP059</v>
      </c>
      <c r="B60" t="s">
        <v>280</v>
      </c>
      <c r="C60">
        <v>25</v>
      </c>
      <c r="D60" t="s">
        <v>68</v>
      </c>
      <c r="E60" t="s">
        <v>80</v>
      </c>
      <c r="F60" t="s">
        <v>42</v>
      </c>
      <c r="G60" t="s">
        <v>27</v>
      </c>
      <c r="H60" s="6" t="s">
        <v>44</v>
      </c>
      <c r="I60" s="3">
        <v>483838.48</v>
      </c>
      <c r="J60" t="s">
        <v>281</v>
      </c>
      <c r="K60" t="s">
        <v>22</v>
      </c>
      <c r="L60" s="4">
        <v>42983</v>
      </c>
      <c r="M60" s="4" t="str">
        <f>TEXT(Table2[[#This Row],[Hire_Date]],"ddd")</f>
        <v>Tue</v>
      </c>
      <c r="N60" s="4" t="str">
        <f t="shared" si="1"/>
        <v>Sep</v>
      </c>
      <c r="O60" s="4" t="str">
        <f t="shared" si="2"/>
        <v>2017</v>
      </c>
      <c r="P60">
        <v>7.3</v>
      </c>
      <c r="Q60">
        <v>30</v>
      </c>
      <c r="R60" t="s">
        <v>39</v>
      </c>
      <c r="S60">
        <v>29</v>
      </c>
    </row>
    <row r="61" spans="1:19" x14ac:dyDescent="0.3">
      <c r="A61" t="str">
        <f t="shared" si="3"/>
        <v>EMP060</v>
      </c>
      <c r="B61" t="s">
        <v>807</v>
      </c>
      <c r="C61">
        <v>44</v>
      </c>
      <c r="D61" t="s">
        <v>16</v>
      </c>
      <c r="E61" t="s">
        <v>129</v>
      </c>
      <c r="F61" t="s">
        <v>42</v>
      </c>
      <c r="G61" t="s">
        <v>116</v>
      </c>
      <c r="H61" s="6" t="s">
        <v>62</v>
      </c>
      <c r="I61" s="3">
        <v>289125.90999999997</v>
      </c>
      <c r="J61" t="s">
        <v>284</v>
      </c>
      <c r="K61"/>
      <c r="L61" s="4">
        <v>44103</v>
      </c>
      <c r="M61" s="4" t="str">
        <f>TEXT(Table2[[#This Row],[Hire_Date]],"ddd")</f>
        <v>Tue</v>
      </c>
      <c r="N61" s="4" t="str">
        <f t="shared" si="1"/>
        <v>Sep</v>
      </c>
      <c r="O61" s="4" t="str">
        <f t="shared" si="2"/>
        <v>2020</v>
      </c>
      <c r="P61">
        <v>7</v>
      </c>
      <c r="Q61">
        <v>3</v>
      </c>
      <c r="R61" t="s">
        <v>39</v>
      </c>
      <c r="S61">
        <v>10</v>
      </c>
    </row>
    <row r="62" spans="1:19" x14ac:dyDescent="0.3">
      <c r="A62" t="str">
        <f t="shared" si="3"/>
        <v>EMP061</v>
      </c>
      <c r="B62" t="s">
        <v>808</v>
      </c>
      <c r="C62">
        <v>32</v>
      </c>
      <c r="D62" t="s">
        <v>16</v>
      </c>
      <c r="E62" t="s">
        <v>17</v>
      </c>
      <c r="F62" t="s">
        <v>88</v>
      </c>
      <c r="G62" t="s">
        <v>94</v>
      </c>
      <c r="H62" s="6" t="s">
        <v>887</v>
      </c>
      <c r="I62" s="3">
        <v>712447.73</v>
      </c>
      <c r="J62" t="s">
        <v>287</v>
      </c>
      <c r="K62" t="s">
        <v>288</v>
      </c>
      <c r="L62" s="4">
        <v>40911</v>
      </c>
      <c r="M62" s="4" t="str">
        <f>TEXT(Table2[[#This Row],[Hire_Date]],"ddd")</f>
        <v>Tue</v>
      </c>
      <c r="N62" s="4" t="str">
        <f t="shared" si="1"/>
        <v>Jan</v>
      </c>
      <c r="O62" s="4" t="str">
        <f t="shared" si="2"/>
        <v>2012</v>
      </c>
      <c r="P62">
        <v>8.1</v>
      </c>
      <c r="Q62">
        <v>18</v>
      </c>
      <c r="R62" t="s">
        <v>78</v>
      </c>
      <c r="S62">
        <v>60</v>
      </c>
    </row>
    <row r="63" spans="1:19" x14ac:dyDescent="0.3">
      <c r="A63" t="str">
        <f t="shared" si="3"/>
        <v>EMP062</v>
      </c>
      <c r="B63" t="s">
        <v>290</v>
      </c>
      <c r="C63">
        <v>56</v>
      </c>
      <c r="D63" t="s">
        <v>887</v>
      </c>
      <c r="E63" t="s">
        <v>69</v>
      </c>
      <c r="F63" t="s">
        <v>61</v>
      </c>
      <c r="G63" t="s">
        <v>43</v>
      </c>
      <c r="H63" s="6" t="s">
        <v>887</v>
      </c>
      <c r="I63" s="3">
        <v>176623.96</v>
      </c>
      <c r="J63" t="s">
        <v>291</v>
      </c>
      <c r="K63"/>
      <c r="L63" s="4">
        <v>42286</v>
      </c>
      <c r="M63" s="4" t="str">
        <f>TEXT(Table2[[#This Row],[Hire_Date]],"ddd")</f>
        <v>Fri</v>
      </c>
      <c r="N63" s="4" t="str">
        <f t="shared" si="1"/>
        <v>Oct</v>
      </c>
      <c r="O63" s="4" t="str">
        <f t="shared" si="2"/>
        <v>2015</v>
      </c>
      <c r="P63">
        <v>5.6</v>
      </c>
      <c r="Q63">
        <v>11</v>
      </c>
      <c r="R63" t="s">
        <v>78</v>
      </c>
      <c r="S63">
        <v>25</v>
      </c>
    </row>
    <row r="64" spans="1:19" x14ac:dyDescent="0.3">
      <c r="A64" t="str">
        <f t="shared" si="3"/>
        <v>EMP063</v>
      </c>
      <c r="B64" t="s">
        <v>809</v>
      </c>
      <c r="C64">
        <v>43</v>
      </c>
      <c r="D64" t="s">
        <v>16</v>
      </c>
      <c r="E64" t="s">
        <v>115</v>
      </c>
      <c r="F64" t="s">
        <v>42</v>
      </c>
      <c r="G64" t="s">
        <v>19</v>
      </c>
      <c r="H64" s="6" t="s">
        <v>62</v>
      </c>
      <c r="I64" s="3">
        <v>88233.73</v>
      </c>
      <c r="J64" t="s">
        <v>294</v>
      </c>
      <c r="K64" t="s">
        <v>295</v>
      </c>
      <c r="L64" s="4">
        <v>44295</v>
      </c>
      <c r="M64" s="4" t="str">
        <f>TEXT(Table2[[#This Row],[Hire_Date]],"ddd")</f>
        <v>Fri</v>
      </c>
      <c r="N64" s="4" t="str">
        <f t="shared" si="1"/>
        <v>Apr</v>
      </c>
      <c r="O64" s="4" t="str">
        <f t="shared" si="2"/>
        <v>2021</v>
      </c>
      <c r="P64">
        <v>2.4</v>
      </c>
      <c r="Q64">
        <v>26</v>
      </c>
      <c r="R64" t="s">
        <v>887</v>
      </c>
      <c r="S64">
        <v>80</v>
      </c>
    </row>
    <row r="65" spans="1:19" x14ac:dyDescent="0.3">
      <c r="A65" t="str">
        <f t="shared" si="3"/>
        <v>EMP064</v>
      </c>
      <c r="B65" t="s">
        <v>297</v>
      </c>
      <c r="C65">
        <v>60</v>
      </c>
      <c r="D65" t="s">
        <v>68</v>
      </c>
      <c r="E65" t="s">
        <v>69</v>
      </c>
      <c r="F65" t="s">
        <v>48</v>
      </c>
      <c r="G65" t="s">
        <v>43</v>
      </c>
      <c r="H65" s="6" t="s">
        <v>62</v>
      </c>
      <c r="I65" s="3">
        <v>401658.54</v>
      </c>
      <c r="J65" t="s">
        <v>298</v>
      </c>
      <c r="K65" t="s">
        <v>299</v>
      </c>
      <c r="L65" s="4">
        <v>44870</v>
      </c>
      <c r="M65" s="4" t="str">
        <f>TEXT(Table2[[#This Row],[Hire_Date]],"ddd")</f>
        <v>Sat</v>
      </c>
      <c r="N65" s="4" t="str">
        <f t="shared" si="1"/>
        <v>Nov</v>
      </c>
      <c r="O65" s="4" t="str">
        <f t="shared" si="2"/>
        <v>2022</v>
      </c>
      <c r="P65">
        <v>8.3000000000000007</v>
      </c>
      <c r="Q65">
        <v>29</v>
      </c>
      <c r="R65" t="s">
        <v>78</v>
      </c>
      <c r="S65">
        <v>81</v>
      </c>
    </row>
    <row r="66" spans="1:19" x14ac:dyDescent="0.3">
      <c r="A66" t="str">
        <f t="shared" ref="A66:A97" si="4">"EMP"&amp;TEXT(ROW()-1,"000")</f>
        <v>EMP065</v>
      </c>
      <c r="B66" t="s">
        <v>301</v>
      </c>
      <c r="C66" t="s">
        <v>887</v>
      </c>
      <c r="D66" t="s">
        <v>68</v>
      </c>
      <c r="E66" t="s">
        <v>99</v>
      </c>
      <c r="F66" t="s">
        <v>18</v>
      </c>
      <c r="G66" t="s">
        <v>43</v>
      </c>
      <c r="H66" s="6" t="s">
        <v>62</v>
      </c>
      <c r="I66" s="3">
        <v>328060.78000000003</v>
      </c>
      <c r="J66" t="s">
        <v>887</v>
      </c>
      <c r="K66" t="s">
        <v>302</v>
      </c>
      <c r="L66" s="4">
        <v>43558</v>
      </c>
      <c r="M66" s="4" t="str">
        <f>TEXT(Table2[[#This Row],[Hire_Date]],"ddd")</f>
        <v>Wed</v>
      </c>
      <c r="N66" s="4" t="str">
        <f t="shared" si="1"/>
        <v>Apr</v>
      </c>
      <c r="O66" s="4" t="str">
        <f t="shared" si="2"/>
        <v>2019</v>
      </c>
      <c r="P66">
        <v>6.9</v>
      </c>
      <c r="Q66">
        <v>34</v>
      </c>
      <c r="R66" t="s">
        <v>78</v>
      </c>
      <c r="S66">
        <v>22</v>
      </c>
    </row>
    <row r="67" spans="1:19" x14ac:dyDescent="0.3">
      <c r="A67" t="str">
        <f t="shared" si="4"/>
        <v>EMP066</v>
      </c>
      <c r="B67" t="s">
        <v>378</v>
      </c>
      <c r="C67">
        <v>56</v>
      </c>
      <c r="D67" t="s">
        <v>887</v>
      </c>
      <c r="E67" t="s">
        <v>121</v>
      </c>
      <c r="F67" t="s">
        <v>61</v>
      </c>
      <c r="G67" t="s">
        <v>94</v>
      </c>
      <c r="H67" s="6" t="s">
        <v>62</v>
      </c>
      <c r="I67" s="3">
        <v>245358.13</v>
      </c>
      <c r="J67" t="s">
        <v>305</v>
      </c>
      <c r="K67" t="s">
        <v>306</v>
      </c>
      <c r="L67" s="4">
        <v>45587</v>
      </c>
      <c r="M67" s="4" t="str">
        <f>TEXT(Table2[[#This Row],[Hire_Date]],"ddd")</f>
        <v>Tue</v>
      </c>
      <c r="N67" s="4" t="str">
        <f t="shared" ref="N67:N130" si="5">TEXT(L67,"MMM")</f>
        <v>Oct</v>
      </c>
      <c r="O67" s="4" t="str">
        <f t="shared" ref="O67:O130" si="6">TEXT(L67,"YYY")</f>
        <v>2024</v>
      </c>
      <c r="P67">
        <v>7.7</v>
      </c>
      <c r="Q67">
        <v>13</v>
      </c>
      <c r="R67" t="s">
        <v>887</v>
      </c>
      <c r="S67">
        <v>0</v>
      </c>
    </row>
    <row r="68" spans="1:19" x14ac:dyDescent="0.3">
      <c r="A68" t="str">
        <f t="shared" si="4"/>
        <v>EMP067</v>
      </c>
      <c r="B68" t="s">
        <v>308</v>
      </c>
      <c r="C68">
        <v>58</v>
      </c>
      <c r="D68" t="s">
        <v>68</v>
      </c>
      <c r="E68" t="s">
        <v>121</v>
      </c>
      <c r="F68" t="s">
        <v>48</v>
      </c>
      <c r="G68" t="s">
        <v>43</v>
      </c>
      <c r="H68" s="6" t="s">
        <v>62</v>
      </c>
      <c r="I68" s="3">
        <v>564222.97</v>
      </c>
      <c r="J68" t="s">
        <v>309</v>
      </c>
      <c r="K68" t="s">
        <v>310</v>
      </c>
      <c r="L68" s="4">
        <v>42640</v>
      </c>
      <c r="M68" s="4" t="str">
        <f>TEXT(Table2[[#This Row],[Hire_Date]],"ddd")</f>
        <v>Tue</v>
      </c>
      <c r="N68" s="4" t="str">
        <f t="shared" si="5"/>
        <v>Sep</v>
      </c>
      <c r="O68" s="4" t="str">
        <f t="shared" si="6"/>
        <v>2016</v>
      </c>
      <c r="P68">
        <v>3.9</v>
      </c>
      <c r="Q68">
        <v>24</v>
      </c>
      <c r="R68" t="s">
        <v>39</v>
      </c>
      <c r="S68">
        <v>85</v>
      </c>
    </row>
    <row r="69" spans="1:19" x14ac:dyDescent="0.3">
      <c r="A69" t="str">
        <f t="shared" si="4"/>
        <v>EMP068</v>
      </c>
      <c r="B69" t="s">
        <v>312</v>
      </c>
      <c r="C69">
        <v>57</v>
      </c>
      <c r="D69" t="s">
        <v>887</v>
      </c>
      <c r="E69" t="s">
        <v>55</v>
      </c>
      <c r="F69" t="s">
        <v>88</v>
      </c>
      <c r="G69" t="s">
        <v>36</v>
      </c>
      <c r="H69" s="6" t="s">
        <v>62</v>
      </c>
      <c r="I69" s="3">
        <v>461594.11</v>
      </c>
      <c r="J69" t="s">
        <v>887</v>
      </c>
      <c r="K69" t="s">
        <v>314</v>
      </c>
      <c r="L69" s="4">
        <v>44566</v>
      </c>
      <c r="M69" s="4" t="str">
        <f>TEXT(Table2[[#This Row],[Hire_Date]],"ddd")</f>
        <v>Wed</v>
      </c>
      <c r="N69" s="4" t="str">
        <f t="shared" si="5"/>
        <v>Jan</v>
      </c>
      <c r="O69" s="4" t="str">
        <f t="shared" si="6"/>
        <v>2022</v>
      </c>
      <c r="P69">
        <v>3</v>
      </c>
      <c r="Q69">
        <v>19</v>
      </c>
      <c r="R69" t="s">
        <v>887</v>
      </c>
      <c r="S69">
        <v>19</v>
      </c>
    </row>
    <row r="70" spans="1:19" x14ac:dyDescent="0.3">
      <c r="A70" t="str">
        <f t="shared" si="4"/>
        <v>EMP069</v>
      </c>
      <c r="B70" t="s">
        <v>810</v>
      </c>
      <c r="C70">
        <v>37</v>
      </c>
      <c r="D70" t="s">
        <v>68</v>
      </c>
      <c r="E70" t="s">
        <v>115</v>
      </c>
      <c r="F70" t="s">
        <v>35</v>
      </c>
      <c r="G70" t="s">
        <v>43</v>
      </c>
      <c r="H70" s="6" t="s">
        <v>62</v>
      </c>
      <c r="I70" s="3">
        <v>365575.08</v>
      </c>
      <c r="J70" t="s">
        <v>317</v>
      </c>
      <c r="K70" t="s">
        <v>318</v>
      </c>
      <c r="L70" s="4">
        <v>42705</v>
      </c>
      <c r="M70" s="4" t="str">
        <f>TEXT(Table2[[#This Row],[Hire_Date]],"ddd")</f>
        <v>Thu</v>
      </c>
      <c r="N70" s="4" t="str">
        <f t="shared" si="5"/>
        <v>Dec</v>
      </c>
      <c r="O70" s="4" t="str">
        <f t="shared" si="6"/>
        <v>2016</v>
      </c>
      <c r="P70">
        <v>6.1</v>
      </c>
      <c r="Q70">
        <v>16</v>
      </c>
      <c r="R70" t="s">
        <v>78</v>
      </c>
      <c r="S70">
        <v>42</v>
      </c>
    </row>
    <row r="71" spans="1:19" x14ac:dyDescent="0.3">
      <c r="A71" t="str">
        <f t="shared" si="4"/>
        <v>EMP070</v>
      </c>
      <c r="B71" t="s">
        <v>811</v>
      </c>
      <c r="C71">
        <v>58</v>
      </c>
      <c r="D71" t="s">
        <v>68</v>
      </c>
      <c r="E71" t="s">
        <v>17</v>
      </c>
      <c r="F71" t="s">
        <v>93</v>
      </c>
      <c r="G71" t="s">
        <v>94</v>
      </c>
      <c r="H71" s="6" t="s">
        <v>62</v>
      </c>
      <c r="I71" s="3">
        <v>551317.74</v>
      </c>
      <c r="J71" t="s">
        <v>321</v>
      </c>
      <c r="K71"/>
      <c r="L71" s="4">
        <v>44197</v>
      </c>
      <c r="M71" s="4" t="str">
        <f>TEXT(Table2[[#This Row],[Hire_Date]],"ddd")</f>
        <v>Fri</v>
      </c>
      <c r="N71" s="4" t="str">
        <f t="shared" si="5"/>
        <v>Jan</v>
      </c>
      <c r="O71" s="4" t="str">
        <f t="shared" si="6"/>
        <v>2021</v>
      </c>
      <c r="P71">
        <v>1.3</v>
      </c>
      <c r="Q71">
        <v>3</v>
      </c>
      <c r="R71" t="s">
        <v>39</v>
      </c>
      <c r="S71">
        <v>63</v>
      </c>
    </row>
    <row r="72" spans="1:19" x14ac:dyDescent="0.3">
      <c r="A72" t="str">
        <f t="shared" si="4"/>
        <v>EMP071</v>
      </c>
      <c r="B72" t="s">
        <v>812</v>
      </c>
      <c r="C72">
        <v>51</v>
      </c>
      <c r="D72" t="s">
        <v>33</v>
      </c>
      <c r="E72" t="s">
        <v>99</v>
      </c>
      <c r="F72" t="s">
        <v>42</v>
      </c>
      <c r="G72" t="s">
        <v>43</v>
      </c>
      <c r="H72" s="6" t="s">
        <v>28</v>
      </c>
      <c r="I72" s="3">
        <v>560063.41</v>
      </c>
      <c r="J72" t="s">
        <v>887</v>
      </c>
      <c r="K72" t="s">
        <v>324</v>
      </c>
      <c r="L72" s="4">
        <v>40316</v>
      </c>
      <c r="M72" s="4" t="str">
        <f>TEXT(Table2[[#This Row],[Hire_Date]],"ddd")</f>
        <v>Tue</v>
      </c>
      <c r="N72" s="4" t="str">
        <f t="shared" si="5"/>
        <v>May</v>
      </c>
      <c r="O72" s="4" t="str">
        <f t="shared" si="6"/>
        <v>2010</v>
      </c>
      <c r="P72">
        <v>5.7</v>
      </c>
      <c r="Q72">
        <v>16</v>
      </c>
      <c r="R72" t="s">
        <v>39</v>
      </c>
      <c r="S72">
        <v>8</v>
      </c>
    </row>
    <row r="73" spans="1:19" x14ac:dyDescent="0.3">
      <c r="A73" t="str">
        <f t="shared" si="4"/>
        <v>EMP072</v>
      </c>
      <c r="B73" t="s">
        <v>326</v>
      </c>
      <c r="C73">
        <v>36</v>
      </c>
      <c r="D73" t="s">
        <v>68</v>
      </c>
      <c r="E73" t="s">
        <v>55</v>
      </c>
      <c r="F73" t="s">
        <v>48</v>
      </c>
      <c r="G73" t="s">
        <v>43</v>
      </c>
      <c r="H73" s="6" t="s">
        <v>62</v>
      </c>
      <c r="I73" s="3">
        <v>0</v>
      </c>
      <c r="J73" t="s">
        <v>327</v>
      </c>
      <c r="K73" t="s">
        <v>22</v>
      </c>
      <c r="L73" s="4">
        <v>44078</v>
      </c>
      <c r="M73" s="4" t="str">
        <f>TEXT(Table2[[#This Row],[Hire_Date]],"ddd")</f>
        <v>Fri</v>
      </c>
      <c r="N73" s="4" t="str">
        <f t="shared" si="5"/>
        <v>Sep</v>
      </c>
      <c r="O73" s="4" t="str">
        <f t="shared" si="6"/>
        <v>2020</v>
      </c>
      <c r="P73">
        <v>3.1</v>
      </c>
      <c r="Q73">
        <v>30</v>
      </c>
      <c r="R73" t="s">
        <v>39</v>
      </c>
      <c r="S73">
        <v>28</v>
      </c>
    </row>
    <row r="74" spans="1:19" x14ac:dyDescent="0.3">
      <c r="A74" t="str">
        <f t="shared" si="4"/>
        <v>EMP073</v>
      </c>
      <c r="B74" t="s">
        <v>813</v>
      </c>
      <c r="C74" t="s">
        <v>887</v>
      </c>
      <c r="D74" t="s">
        <v>68</v>
      </c>
      <c r="E74" t="s">
        <v>34</v>
      </c>
      <c r="F74" t="s">
        <v>93</v>
      </c>
      <c r="G74" t="s">
        <v>43</v>
      </c>
      <c r="H74" s="6" t="s">
        <v>887</v>
      </c>
      <c r="I74" s="3">
        <v>621623.22</v>
      </c>
      <c r="J74" t="s">
        <v>330</v>
      </c>
      <c r="K74" t="s">
        <v>22</v>
      </c>
      <c r="L74" s="4">
        <v>43366</v>
      </c>
      <c r="M74" s="4" t="str">
        <f>TEXT(Table2[[#This Row],[Hire_Date]],"ddd")</f>
        <v>Sun</v>
      </c>
      <c r="N74" s="4" t="str">
        <f t="shared" si="5"/>
        <v>Sep</v>
      </c>
      <c r="O74" s="4" t="str">
        <f t="shared" si="6"/>
        <v>2018</v>
      </c>
      <c r="P74">
        <v>3.1</v>
      </c>
      <c r="Q74">
        <v>25</v>
      </c>
      <c r="R74" t="s">
        <v>78</v>
      </c>
      <c r="S74">
        <v>0</v>
      </c>
    </row>
    <row r="75" spans="1:19" x14ac:dyDescent="0.3">
      <c r="A75" t="str">
        <f t="shared" si="4"/>
        <v>EMP074</v>
      </c>
      <c r="B75" t="s">
        <v>793</v>
      </c>
      <c r="C75">
        <v>57</v>
      </c>
      <c r="D75" t="s">
        <v>68</v>
      </c>
      <c r="E75" t="s">
        <v>129</v>
      </c>
      <c r="F75" t="s">
        <v>48</v>
      </c>
      <c r="G75" t="s">
        <v>94</v>
      </c>
      <c r="H75" s="6" t="s">
        <v>44</v>
      </c>
      <c r="I75" s="3">
        <v>569380.30000000005</v>
      </c>
      <c r="J75" t="s">
        <v>176</v>
      </c>
      <c r="K75" t="s">
        <v>334</v>
      </c>
      <c r="L75" s="4">
        <v>42374</v>
      </c>
      <c r="M75" s="4" t="str">
        <f>TEXT(Table2[[#This Row],[Hire_Date]],"ddd")</f>
        <v>Tue</v>
      </c>
      <c r="N75" s="4" t="str">
        <f t="shared" si="5"/>
        <v>Jan</v>
      </c>
      <c r="O75" s="4" t="str">
        <f t="shared" si="6"/>
        <v>2016</v>
      </c>
      <c r="P75">
        <v>1.9</v>
      </c>
      <c r="Q75">
        <v>35</v>
      </c>
      <c r="R75" t="s">
        <v>78</v>
      </c>
      <c r="S75">
        <v>9</v>
      </c>
    </row>
    <row r="76" spans="1:19" x14ac:dyDescent="0.3">
      <c r="A76" t="str">
        <f t="shared" si="4"/>
        <v>EMP075</v>
      </c>
      <c r="B76" t="s">
        <v>814</v>
      </c>
      <c r="C76" t="s">
        <v>887</v>
      </c>
      <c r="D76" t="s">
        <v>16</v>
      </c>
      <c r="E76" t="s">
        <v>99</v>
      </c>
      <c r="F76" t="s">
        <v>42</v>
      </c>
      <c r="G76" t="s">
        <v>43</v>
      </c>
      <c r="H76" s="6" t="s">
        <v>135</v>
      </c>
      <c r="I76" s="3">
        <v>140983.65</v>
      </c>
      <c r="J76" t="s">
        <v>337</v>
      </c>
      <c r="K76"/>
      <c r="L76" s="4">
        <v>43297</v>
      </c>
      <c r="M76" s="4" t="str">
        <f>TEXT(Table2[[#This Row],[Hire_Date]],"ddd")</f>
        <v>Mon</v>
      </c>
      <c r="N76" s="4" t="str">
        <f t="shared" si="5"/>
        <v>Jul</v>
      </c>
      <c r="O76" s="4" t="str">
        <f t="shared" si="6"/>
        <v>2018</v>
      </c>
      <c r="P76">
        <v>3.3</v>
      </c>
      <c r="Q76">
        <v>12</v>
      </c>
      <c r="R76" t="s">
        <v>78</v>
      </c>
      <c r="S76">
        <v>95</v>
      </c>
    </row>
    <row r="77" spans="1:19" x14ac:dyDescent="0.3">
      <c r="A77" t="str">
        <f t="shared" si="4"/>
        <v>EMP076</v>
      </c>
      <c r="B77" t="s">
        <v>815</v>
      </c>
      <c r="C77">
        <v>50</v>
      </c>
      <c r="D77" t="s">
        <v>68</v>
      </c>
      <c r="E77" t="s">
        <v>55</v>
      </c>
      <c r="F77" t="s">
        <v>93</v>
      </c>
      <c r="G77" t="s">
        <v>27</v>
      </c>
      <c r="H77" s="6" t="s">
        <v>887</v>
      </c>
      <c r="I77" s="3">
        <v>698846.1</v>
      </c>
      <c r="J77" t="s">
        <v>341</v>
      </c>
      <c r="K77" t="s">
        <v>342</v>
      </c>
      <c r="L77" s="4">
        <v>41634</v>
      </c>
      <c r="M77" s="4" t="str">
        <f>TEXT(Table2[[#This Row],[Hire_Date]],"ddd")</f>
        <v>Thu</v>
      </c>
      <c r="N77" s="4" t="str">
        <f t="shared" si="5"/>
        <v>Dec</v>
      </c>
      <c r="O77" s="4" t="str">
        <f t="shared" si="6"/>
        <v>2013</v>
      </c>
      <c r="P77">
        <v>4.3</v>
      </c>
      <c r="Q77">
        <v>34</v>
      </c>
      <c r="R77" t="s">
        <v>887</v>
      </c>
      <c r="S77">
        <v>95</v>
      </c>
    </row>
    <row r="78" spans="1:19" x14ac:dyDescent="0.3">
      <c r="A78" t="str">
        <f t="shared" si="4"/>
        <v>EMP077</v>
      </c>
      <c r="B78" t="s">
        <v>816</v>
      </c>
      <c r="C78">
        <v>26</v>
      </c>
      <c r="D78" t="s">
        <v>16</v>
      </c>
      <c r="E78" t="s">
        <v>34</v>
      </c>
      <c r="F78" t="s">
        <v>35</v>
      </c>
      <c r="G78" t="s">
        <v>43</v>
      </c>
      <c r="H78" s="6" t="s">
        <v>28</v>
      </c>
      <c r="I78" s="3">
        <v>374581.94</v>
      </c>
      <c r="J78" t="s">
        <v>346</v>
      </c>
      <c r="K78" t="s">
        <v>347</v>
      </c>
      <c r="M78" s="4" t="str">
        <f>TEXT(Table2[[#This Row],[Hire_Date]],"ddd")</f>
        <v>Sat</v>
      </c>
      <c r="N78" s="4" t="str">
        <f t="shared" si="5"/>
        <v>Jan</v>
      </c>
      <c r="O78" s="4" t="str">
        <f t="shared" si="6"/>
        <v>1900</v>
      </c>
      <c r="P78">
        <v>6.7</v>
      </c>
      <c r="Q78">
        <v>22</v>
      </c>
      <c r="R78" t="s">
        <v>78</v>
      </c>
      <c r="S78">
        <v>0</v>
      </c>
    </row>
    <row r="79" spans="1:19" x14ac:dyDescent="0.3">
      <c r="A79" t="str">
        <f t="shared" si="4"/>
        <v>EMP078</v>
      </c>
      <c r="B79" t="s">
        <v>817</v>
      </c>
      <c r="C79">
        <v>49</v>
      </c>
      <c r="D79" t="s">
        <v>68</v>
      </c>
      <c r="E79" t="s">
        <v>80</v>
      </c>
      <c r="F79" t="s">
        <v>887</v>
      </c>
      <c r="G79" t="s">
        <v>43</v>
      </c>
      <c r="H79" s="6" t="s">
        <v>62</v>
      </c>
      <c r="I79" s="3">
        <v>239840.78</v>
      </c>
      <c r="J79" t="s">
        <v>349</v>
      </c>
      <c r="K79" t="s">
        <v>350</v>
      </c>
      <c r="L79" s="4">
        <v>43972</v>
      </c>
      <c r="M79" s="4" t="str">
        <f>TEXT(Table2[[#This Row],[Hire_Date]],"ddd")</f>
        <v>Thu</v>
      </c>
      <c r="N79" s="4" t="str">
        <f t="shared" si="5"/>
        <v>May</v>
      </c>
      <c r="O79" s="4" t="str">
        <f t="shared" si="6"/>
        <v>2020</v>
      </c>
      <c r="P79">
        <v>4.0999999999999996</v>
      </c>
      <c r="Q79">
        <v>33</v>
      </c>
      <c r="R79" t="s">
        <v>78</v>
      </c>
      <c r="S79">
        <v>72</v>
      </c>
    </row>
    <row r="80" spans="1:19" x14ac:dyDescent="0.3">
      <c r="A80" t="str">
        <f t="shared" si="4"/>
        <v>EMP079</v>
      </c>
      <c r="B80" t="s">
        <v>352</v>
      </c>
      <c r="C80" t="s">
        <v>887</v>
      </c>
      <c r="D80" t="s">
        <v>16</v>
      </c>
      <c r="E80" t="s">
        <v>17</v>
      </c>
      <c r="F80" t="s">
        <v>35</v>
      </c>
      <c r="G80" t="s">
        <v>94</v>
      </c>
      <c r="H80" s="6" t="s">
        <v>28</v>
      </c>
      <c r="I80" s="3">
        <v>567540.31999999995</v>
      </c>
      <c r="J80" t="s">
        <v>353</v>
      </c>
      <c r="K80" t="s">
        <v>354</v>
      </c>
      <c r="L80" s="4">
        <v>44765</v>
      </c>
      <c r="M80" s="4" t="str">
        <f>TEXT(Table2[[#This Row],[Hire_Date]],"ddd")</f>
        <v>Sat</v>
      </c>
      <c r="N80" s="4" t="str">
        <f t="shared" si="5"/>
        <v>Jul</v>
      </c>
      <c r="O80" s="4" t="str">
        <f t="shared" si="6"/>
        <v>2022</v>
      </c>
      <c r="P80">
        <v>8.9</v>
      </c>
      <c r="Q80">
        <v>0</v>
      </c>
      <c r="R80" t="s">
        <v>78</v>
      </c>
      <c r="S80">
        <v>70</v>
      </c>
    </row>
    <row r="81" spans="1:19" x14ac:dyDescent="0.3">
      <c r="A81" t="str">
        <f t="shared" si="4"/>
        <v>EMP080</v>
      </c>
      <c r="B81" t="s">
        <v>818</v>
      </c>
      <c r="C81">
        <v>33</v>
      </c>
      <c r="D81" t="s">
        <v>16</v>
      </c>
      <c r="E81" t="s">
        <v>80</v>
      </c>
      <c r="F81" t="s">
        <v>93</v>
      </c>
      <c r="G81" t="s">
        <v>19</v>
      </c>
      <c r="H81" s="6" t="s">
        <v>135</v>
      </c>
      <c r="I81" s="3">
        <v>162047.57999999999</v>
      </c>
      <c r="J81" t="s">
        <v>357</v>
      </c>
      <c r="K81" t="s">
        <v>22</v>
      </c>
      <c r="L81" s="4">
        <v>43394</v>
      </c>
      <c r="M81" s="4" t="str">
        <f>TEXT(Table2[[#This Row],[Hire_Date]],"ddd")</f>
        <v>Sun</v>
      </c>
      <c r="N81" s="4" t="str">
        <f t="shared" si="5"/>
        <v>Oct</v>
      </c>
      <c r="O81" s="4" t="str">
        <f t="shared" si="6"/>
        <v>2018</v>
      </c>
      <c r="P81">
        <v>2.1</v>
      </c>
      <c r="Q81">
        <v>9</v>
      </c>
      <c r="R81" t="s">
        <v>78</v>
      </c>
      <c r="S81">
        <v>58</v>
      </c>
    </row>
    <row r="82" spans="1:19" x14ac:dyDescent="0.3">
      <c r="A82" t="str">
        <f t="shared" si="4"/>
        <v>EMP081</v>
      </c>
      <c r="B82" t="s">
        <v>819</v>
      </c>
      <c r="C82">
        <v>33</v>
      </c>
      <c r="D82" t="s">
        <v>68</v>
      </c>
      <c r="E82" t="s">
        <v>76</v>
      </c>
      <c r="F82" t="s">
        <v>35</v>
      </c>
      <c r="G82" t="s">
        <v>116</v>
      </c>
      <c r="H82" s="6" t="s">
        <v>44</v>
      </c>
      <c r="I82" s="3">
        <v>181013.51</v>
      </c>
      <c r="J82" t="s">
        <v>360</v>
      </c>
      <c r="K82" t="s">
        <v>361</v>
      </c>
      <c r="L82" s="4">
        <v>41297</v>
      </c>
      <c r="M82" s="4" t="str">
        <f>TEXT(Table2[[#This Row],[Hire_Date]],"ddd")</f>
        <v>Wed</v>
      </c>
      <c r="N82" s="4" t="str">
        <f t="shared" si="5"/>
        <v>Jan</v>
      </c>
      <c r="O82" s="4" t="str">
        <f t="shared" si="6"/>
        <v>2013</v>
      </c>
      <c r="P82">
        <v>1.3</v>
      </c>
      <c r="Q82">
        <v>29</v>
      </c>
      <c r="R82" t="s">
        <v>78</v>
      </c>
      <c r="S82">
        <v>55</v>
      </c>
    </row>
    <row r="83" spans="1:19" x14ac:dyDescent="0.3">
      <c r="A83" t="str">
        <f t="shared" si="4"/>
        <v>EMP082</v>
      </c>
      <c r="B83" t="s">
        <v>820</v>
      </c>
      <c r="C83">
        <v>45</v>
      </c>
      <c r="D83" t="s">
        <v>68</v>
      </c>
      <c r="E83" t="s">
        <v>76</v>
      </c>
      <c r="F83" t="s">
        <v>61</v>
      </c>
      <c r="G83" t="s">
        <v>116</v>
      </c>
      <c r="H83" s="6" t="s">
        <v>62</v>
      </c>
      <c r="I83" s="3">
        <v>627202.97</v>
      </c>
      <c r="J83" t="s">
        <v>364</v>
      </c>
      <c r="K83" t="s">
        <v>365</v>
      </c>
      <c r="L83" s="4">
        <v>42206</v>
      </c>
      <c r="M83" s="4" t="str">
        <f>TEXT(Table2[[#This Row],[Hire_Date]],"ddd")</f>
        <v>Tue</v>
      </c>
      <c r="N83" s="4" t="str">
        <f t="shared" si="5"/>
        <v>Jul</v>
      </c>
      <c r="O83" s="4" t="str">
        <f t="shared" si="6"/>
        <v>2015</v>
      </c>
      <c r="P83">
        <v>8.3000000000000007</v>
      </c>
      <c r="Q83">
        <v>27</v>
      </c>
      <c r="R83" t="s">
        <v>39</v>
      </c>
      <c r="S83">
        <v>81</v>
      </c>
    </row>
    <row r="84" spans="1:19" x14ac:dyDescent="0.3">
      <c r="A84" t="str">
        <f t="shared" si="4"/>
        <v>EMP083</v>
      </c>
      <c r="B84" t="s">
        <v>821</v>
      </c>
      <c r="C84">
        <v>39</v>
      </c>
      <c r="D84" t="s">
        <v>16</v>
      </c>
      <c r="E84" t="s">
        <v>69</v>
      </c>
      <c r="F84" t="s">
        <v>42</v>
      </c>
      <c r="G84" t="s">
        <v>116</v>
      </c>
      <c r="H84" s="6" t="s">
        <v>887</v>
      </c>
      <c r="I84" s="3">
        <v>784880.11</v>
      </c>
      <c r="J84" t="s">
        <v>368</v>
      </c>
      <c r="K84" t="s">
        <v>369</v>
      </c>
      <c r="L84" s="4">
        <v>43550</v>
      </c>
      <c r="M84" s="4" t="str">
        <f>TEXT(Table2[[#This Row],[Hire_Date]],"ddd")</f>
        <v>Tue</v>
      </c>
      <c r="N84" s="4" t="str">
        <f t="shared" si="5"/>
        <v>Mar</v>
      </c>
      <c r="O84" s="4" t="str">
        <f t="shared" si="6"/>
        <v>2019</v>
      </c>
      <c r="P84">
        <v>5.4</v>
      </c>
      <c r="Q84">
        <v>26</v>
      </c>
      <c r="R84" t="s">
        <v>78</v>
      </c>
      <c r="S84">
        <v>88</v>
      </c>
    </row>
    <row r="85" spans="1:19" x14ac:dyDescent="0.3">
      <c r="A85" t="str">
        <f t="shared" si="4"/>
        <v>EMP084</v>
      </c>
      <c r="B85" t="s">
        <v>822</v>
      </c>
      <c r="C85">
        <v>45</v>
      </c>
      <c r="D85" t="s">
        <v>68</v>
      </c>
      <c r="E85" t="s">
        <v>76</v>
      </c>
      <c r="F85" t="s">
        <v>18</v>
      </c>
      <c r="G85" t="s">
        <v>94</v>
      </c>
      <c r="H85" s="6" t="s">
        <v>62</v>
      </c>
      <c r="I85" s="3">
        <v>499007.99</v>
      </c>
      <c r="J85" t="s">
        <v>372</v>
      </c>
      <c r="K85"/>
      <c r="L85" s="4">
        <v>43113</v>
      </c>
      <c r="M85" s="4" t="str">
        <f>TEXT(Table2[[#This Row],[Hire_Date]],"ddd")</f>
        <v>Sat</v>
      </c>
      <c r="N85" s="4" t="str">
        <f t="shared" si="5"/>
        <v>Jan</v>
      </c>
      <c r="O85" s="4" t="str">
        <f t="shared" si="6"/>
        <v>2018</v>
      </c>
      <c r="P85">
        <v>6.2</v>
      </c>
      <c r="Q85">
        <v>21</v>
      </c>
      <c r="R85" t="s">
        <v>887</v>
      </c>
      <c r="S85">
        <v>0</v>
      </c>
    </row>
    <row r="86" spans="1:19" x14ac:dyDescent="0.3">
      <c r="A86" t="str">
        <f t="shared" si="4"/>
        <v>EMP085</v>
      </c>
      <c r="B86" t="s">
        <v>823</v>
      </c>
      <c r="C86">
        <v>50</v>
      </c>
      <c r="D86" t="s">
        <v>16</v>
      </c>
      <c r="E86" t="s">
        <v>121</v>
      </c>
      <c r="F86" t="s">
        <v>70</v>
      </c>
      <c r="G86" t="s">
        <v>116</v>
      </c>
      <c r="H86" s="6" t="s">
        <v>887</v>
      </c>
      <c r="I86" s="3">
        <v>388015.5</v>
      </c>
      <c r="J86" t="s">
        <v>375</v>
      </c>
      <c r="K86" t="s">
        <v>376</v>
      </c>
      <c r="L86" s="4">
        <v>45541</v>
      </c>
      <c r="M86" s="4" t="str">
        <f>TEXT(Table2[[#This Row],[Hire_Date]],"ddd")</f>
        <v>Fri</v>
      </c>
      <c r="N86" s="4" t="str">
        <f t="shared" si="5"/>
        <v>Sep</v>
      </c>
      <c r="O86" s="4" t="str">
        <f t="shared" si="6"/>
        <v>2024</v>
      </c>
      <c r="P86">
        <v>0</v>
      </c>
      <c r="Q86">
        <v>30</v>
      </c>
      <c r="R86" t="s">
        <v>78</v>
      </c>
      <c r="S86">
        <v>68</v>
      </c>
    </row>
    <row r="87" spans="1:19" x14ac:dyDescent="0.3">
      <c r="A87" t="str">
        <f t="shared" si="4"/>
        <v>EMP086</v>
      </c>
      <c r="B87" t="s">
        <v>378</v>
      </c>
      <c r="C87">
        <v>49</v>
      </c>
      <c r="D87" t="s">
        <v>68</v>
      </c>
      <c r="E87" t="s">
        <v>34</v>
      </c>
      <c r="F87" t="s">
        <v>48</v>
      </c>
      <c r="G87" t="s">
        <v>19</v>
      </c>
      <c r="H87" s="6" t="s">
        <v>62</v>
      </c>
      <c r="I87" s="3">
        <v>244841.74</v>
      </c>
      <c r="J87" t="s">
        <v>305</v>
      </c>
      <c r="K87" t="s">
        <v>379</v>
      </c>
      <c r="L87" s="4">
        <v>43314</v>
      </c>
      <c r="M87" s="4" t="str">
        <f>TEXT(Table2[[#This Row],[Hire_Date]],"ddd")</f>
        <v>Thu</v>
      </c>
      <c r="N87" s="4" t="str">
        <f t="shared" si="5"/>
        <v>Aug</v>
      </c>
      <c r="O87" s="4" t="str">
        <f t="shared" si="6"/>
        <v>2018</v>
      </c>
      <c r="P87">
        <v>4.2</v>
      </c>
      <c r="Q87">
        <v>26</v>
      </c>
      <c r="R87" t="s">
        <v>39</v>
      </c>
      <c r="S87">
        <v>9</v>
      </c>
    </row>
    <row r="88" spans="1:19" x14ac:dyDescent="0.3">
      <c r="A88" t="str">
        <f t="shared" si="4"/>
        <v>EMP087</v>
      </c>
      <c r="B88" t="s">
        <v>824</v>
      </c>
      <c r="C88">
        <v>46</v>
      </c>
      <c r="D88" t="s">
        <v>68</v>
      </c>
      <c r="E88" t="s">
        <v>99</v>
      </c>
      <c r="F88" t="s">
        <v>42</v>
      </c>
      <c r="G88" t="s">
        <v>116</v>
      </c>
      <c r="H88" s="6" t="s">
        <v>62</v>
      </c>
      <c r="I88" s="3">
        <v>649575.19999999995</v>
      </c>
      <c r="J88" t="s">
        <v>382</v>
      </c>
      <c r="K88" t="s">
        <v>383</v>
      </c>
      <c r="L88" s="4">
        <v>40398</v>
      </c>
      <c r="M88" s="4" t="str">
        <f>TEXT(Table2[[#This Row],[Hire_Date]],"ddd")</f>
        <v>Sun</v>
      </c>
      <c r="N88" s="4" t="str">
        <f t="shared" si="5"/>
        <v>Aug</v>
      </c>
      <c r="O88" s="4" t="str">
        <f t="shared" si="6"/>
        <v>2010</v>
      </c>
      <c r="P88">
        <v>4.5</v>
      </c>
      <c r="Q88">
        <v>4</v>
      </c>
      <c r="R88" t="s">
        <v>78</v>
      </c>
      <c r="S88">
        <v>93</v>
      </c>
    </row>
    <row r="89" spans="1:19" x14ac:dyDescent="0.3">
      <c r="A89" t="str">
        <f t="shared" si="4"/>
        <v>EMP088</v>
      </c>
      <c r="B89" t="s">
        <v>825</v>
      </c>
      <c r="C89">
        <v>48</v>
      </c>
      <c r="D89" t="s">
        <v>33</v>
      </c>
      <c r="E89" t="s">
        <v>99</v>
      </c>
      <c r="F89" t="s">
        <v>18</v>
      </c>
      <c r="G89" t="s">
        <v>43</v>
      </c>
      <c r="H89" s="6" t="s">
        <v>62</v>
      </c>
      <c r="I89" s="3">
        <v>0</v>
      </c>
      <c r="J89" t="s">
        <v>386</v>
      </c>
      <c r="K89" t="s">
        <v>387</v>
      </c>
      <c r="L89" s="4">
        <v>40674</v>
      </c>
      <c r="M89" s="4" t="str">
        <f>TEXT(Table2[[#This Row],[Hire_Date]],"ddd")</f>
        <v>Wed</v>
      </c>
      <c r="N89" s="4" t="str">
        <f t="shared" si="5"/>
        <v>May</v>
      </c>
      <c r="O89" s="4" t="str">
        <f t="shared" si="6"/>
        <v>2011</v>
      </c>
      <c r="P89">
        <v>6.5</v>
      </c>
      <c r="Q89">
        <v>32</v>
      </c>
      <c r="R89" t="s">
        <v>39</v>
      </c>
      <c r="S89">
        <v>33</v>
      </c>
    </row>
    <row r="90" spans="1:19" x14ac:dyDescent="0.3">
      <c r="A90" t="str">
        <f t="shared" si="4"/>
        <v>EMP089</v>
      </c>
      <c r="B90" t="s">
        <v>826</v>
      </c>
      <c r="C90">
        <v>37</v>
      </c>
      <c r="D90" t="s">
        <v>33</v>
      </c>
      <c r="E90" t="s">
        <v>34</v>
      </c>
      <c r="F90" t="s">
        <v>61</v>
      </c>
      <c r="G90" t="s">
        <v>19</v>
      </c>
      <c r="H90" s="6" t="s">
        <v>135</v>
      </c>
      <c r="I90" s="3">
        <v>392828.18</v>
      </c>
      <c r="J90" t="s">
        <v>390</v>
      </c>
      <c r="K90" t="s">
        <v>391</v>
      </c>
      <c r="L90" s="4">
        <v>40282</v>
      </c>
      <c r="M90" s="4" t="str">
        <f>TEXT(Table2[[#This Row],[Hire_Date]],"ddd")</f>
        <v>Wed</v>
      </c>
      <c r="N90" s="4" t="str">
        <f t="shared" si="5"/>
        <v>Apr</v>
      </c>
      <c r="O90" s="4" t="str">
        <f t="shared" si="6"/>
        <v>2010</v>
      </c>
      <c r="P90">
        <v>2.1</v>
      </c>
      <c r="Q90">
        <v>7</v>
      </c>
      <c r="R90" t="s">
        <v>78</v>
      </c>
      <c r="S90">
        <v>43</v>
      </c>
    </row>
    <row r="91" spans="1:19" x14ac:dyDescent="0.3">
      <c r="A91" t="str">
        <f t="shared" si="4"/>
        <v>EMP090</v>
      </c>
      <c r="B91" t="s">
        <v>827</v>
      </c>
      <c r="C91">
        <v>26</v>
      </c>
      <c r="D91" t="s">
        <v>68</v>
      </c>
      <c r="E91" t="s">
        <v>121</v>
      </c>
      <c r="F91" t="s">
        <v>61</v>
      </c>
      <c r="G91" t="s">
        <v>19</v>
      </c>
      <c r="H91" s="6" t="s">
        <v>62</v>
      </c>
      <c r="I91" s="3">
        <v>119916.16</v>
      </c>
      <c r="J91" t="s">
        <v>395</v>
      </c>
      <c r="K91"/>
      <c r="L91" s="4">
        <v>41123</v>
      </c>
      <c r="M91" s="4" t="str">
        <f>TEXT(Table2[[#This Row],[Hire_Date]],"ddd")</f>
        <v>Thu</v>
      </c>
      <c r="N91" s="4" t="str">
        <f t="shared" si="5"/>
        <v>Aug</v>
      </c>
      <c r="O91" s="4" t="str">
        <f t="shared" si="6"/>
        <v>2012</v>
      </c>
      <c r="P91">
        <v>9.4</v>
      </c>
      <c r="Q91">
        <v>26</v>
      </c>
      <c r="R91" t="s">
        <v>78</v>
      </c>
      <c r="S91">
        <v>72</v>
      </c>
    </row>
    <row r="92" spans="1:19" x14ac:dyDescent="0.3">
      <c r="A92" t="str">
        <f t="shared" si="4"/>
        <v>EMP091</v>
      </c>
      <c r="B92" t="s">
        <v>397</v>
      </c>
      <c r="C92">
        <v>54</v>
      </c>
      <c r="D92" t="s">
        <v>887</v>
      </c>
      <c r="E92" t="s">
        <v>80</v>
      </c>
      <c r="F92" t="s">
        <v>35</v>
      </c>
      <c r="G92" t="s">
        <v>94</v>
      </c>
      <c r="H92" s="6" t="s">
        <v>28</v>
      </c>
      <c r="I92" s="3">
        <v>0</v>
      </c>
      <c r="J92" t="s">
        <v>399</v>
      </c>
      <c r="K92" t="s">
        <v>400</v>
      </c>
      <c r="L92" s="4">
        <v>42724</v>
      </c>
      <c r="M92" s="4" t="str">
        <f>TEXT(Table2[[#This Row],[Hire_Date]],"ddd")</f>
        <v>Tue</v>
      </c>
      <c r="N92" s="4" t="str">
        <f t="shared" si="5"/>
        <v>Dec</v>
      </c>
      <c r="O92" s="4" t="str">
        <f t="shared" si="6"/>
        <v>2016</v>
      </c>
      <c r="P92">
        <v>9.6999999999999993</v>
      </c>
      <c r="Q92">
        <v>34</v>
      </c>
      <c r="R92" t="s">
        <v>887</v>
      </c>
      <c r="S92">
        <v>93</v>
      </c>
    </row>
    <row r="93" spans="1:19" x14ac:dyDescent="0.3">
      <c r="A93" t="str">
        <f t="shared" si="4"/>
        <v>EMP092</v>
      </c>
      <c r="B93" t="s">
        <v>402</v>
      </c>
      <c r="C93" t="s">
        <v>887</v>
      </c>
      <c r="D93" t="s">
        <v>68</v>
      </c>
      <c r="E93" t="s">
        <v>34</v>
      </c>
      <c r="F93" t="s">
        <v>48</v>
      </c>
      <c r="G93" t="s">
        <v>94</v>
      </c>
      <c r="H93" s="6" t="s">
        <v>28</v>
      </c>
      <c r="I93" s="3">
        <v>553258.77</v>
      </c>
      <c r="J93" t="s">
        <v>403</v>
      </c>
      <c r="K93" t="s">
        <v>404</v>
      </c>
      <c r="L93" s="4">
        <v>44209</v>
      </c>
      <c r="M93" s="4" t="str">
        <f>TEXT(Table2[[#This Row],[Hire_Date]],"ddd")</f>
        <v>Wed</v>
      </c>
      <c r="N93" s="4" t="str">
        <f t="shared" si="5"/>
        <v>Jan</v>
      </c>
      <c r="O93" s="4" t="str">
        <f t="shared" si="6"/>
        <v>2021</v>
      </c>
      <c r="P93">
        <v>6.2</v>
      </c>
      <c r="Q93">
        <v>25</v>
      </c>
      <c r="R93" t="s">
        <v>78</v>
      </c>
      <c r="S93">
        <v>66</v>
      </c>
    </row>
    <row r="94" spans="1:19" x14ac:dyDescent="0.3">
      <c r="A94" t="str">
        <f t="shared" si="4"/>
        <v>EMP093</v>
      </c>
      <c r="B94" t="s">
        <v>828</v>
      </c>
      <c r="C94">
        <v>47</v>
      </c>
      <c r="D94" t="s">
        <v>68</v>
      </c>
      <c r="E94" t="s">
        <v>76</v>
      </c>
      <c r="F94" t="s">
        <v>93</v>
      </c>
      <c r="G94" t="s">
        <v>43</v>
      </c>
      <c r="H94" s="6" t="s">
        <v>28</v>
      </c>
      <c r="I94" s="3">
        <v>309002</v>
      </c>
      <c r="J94" t="s">
        <v>408</v>
      </c>
      <c r="K94" t="s">
        <v>409</v>
      </c>
      <c r="L94" s="4">
        <v>41044</v>
      </c>
      <c r="M94" s="4" t="str">
        <f>TEXT(Table2[[#This Row],[Hire_Date]],"ddd")</f>
        <v>Tue</v>
      </c>
      <c r="N94" s="4" t="str">
        <f t="shared" si="5"/>
        <v>May</v>
      </c>
      <c r="O94" s="4" t="str">
        <f t="shared" si="6"/>
        <v>2012</v>
      </c>
      <c r="P94">
        <v>2.4</v>
      </c>
      <c r="Q94">
        <v>2</v>
      </c>
      <c r="R94" t="s">
        <v>78</v>
      </c>
      <c r="S94">
        <v>9</v>
      </c>
    </row>
    <row r="95" spans="1:19" x14ac:dyDescent="0.3">
      <c r="A95" t="str">
        <f t="shared" si="4"/>
        <v>EMP094</v>
      </c>
      <c r="B95" t="s">
        <v>411</v>
      </c>
      <c r="C95">
        <v>41</v>
      </c>
      <c r="D95" t="s">
        <v>68</v>
      </c>
      <c r="E95" t="s">
        <v>129</v>
      </c>
      <c r="F95" t="s">
        <v>88</v>
      </c>
      <c r="G95" t="s">
        <v>43</v>
      </c>
      <c r="H95" s="6" t="s">
        <v>62</v>
      </c>
      <c r="I95" s="3">
        <v>102379.11</v>
      </c>
      <c r="J95" t="s">
        <v>412</v>
      </c>
      <c r="K95" t="s">
        <v>413</v>
      </c>
      <c r="L95" s="4">
        <v>41324</v>
      </c>
      <c r="M95" s="4" t="str">
        <f>TEXT(Table2[[#This Row],[Hire_Date]],"ddd")</f>
        <v>Tue</v>
      </c>
      <c r="N95" s="4" t="str">
        <f t="shared" si="5"/>
        <v>Feb</v>
      </c>
      <c r="O95" s="4" t="str">
        <f t="shared" si="6"/>
        <v>2013</v>
      </c>
      <c r="P95">
        <v>10</v>
      </c>
      <c r="Q95">
        <v>8</v>
      </c>
      <c r="R95" t="s">
        <v>78</v>
      </c>
      <c r="S95">
        <v>33</v>
      </c>
    </row>
    <row r="96" spans="1:19" x14ac:dyDescent="0.3">
      <c r="A96" t="str">
        <f t="shared" si="4"/>
        <v>EMP095</v>
      </c>
      <c r="B96" t="s">
        <v>829</v>
      </c>
      <c r="C96">
        <v>49</v>
      </c>
      <c r="D96" t="s">
        <v>33</v>
      </c>
      <c r="E96" t="s">
        <v>76</v>
      </c>
      <c r="F96" t="s">
        <v>88</v>
      </c>
      <c r="G96" t="s">
        <v>19</v>
      </c>
      <c r="H96" s="6" t="s">
        <v>887</v>
      </c>
      <c r="I96" s="3">
        <v>101227.25</v>
      </c>
      <c r="J96" t="s">
        <v>416</v>
      </c>
      <c r="K96" t="s">
        <v>417</v>
      </c>
      <c r="M96" s="4" t="str">
        <f>TEXT(Table2[[#This Row],[Hire_Date]],"ddd")</f>
        <v>Sat</v>
      </c>
      <c r="N96" s="4" t="str">
        <f t="shared" si="5"/>
        <v>Jan</v>
      </c>
      <c r="O96" s="4" t="str">
        <f t="shared" si="6"/>
        <v>1900</v>
      </c>
      <c r="P96">
        <v>2.8</v>
      </c>
      <c r="Q96">
        <v>34</v>
      </c>
      <c r="R96" t="s">
        <v>887</v>
      </c>
      <c r="S96">
        <v>36</v>
      </c>
    </row>
    <row r="97" spans="1:19" x14ac:dyDescent="0.3">
      <c r="A97" t="str">
        <f t="shared" si="4"/>
        <v>EMP096</v>
      </c>
      <c r="B97" t="s">
        <v>776</v>
      </c>
      <c r="C97">
        <v>54</v>
      </c>
      <c r="D97" t="s">
        <v>16</v>
      </c>
      <c r="E97" t="s">
        <v>34</v>
      </c>
      <c r="F97" t="s">
        <v>48</v>
      </c>
      <c r="G97" t="s">
        <v>94</v>
      </c>
      <c r="H97" s="6" t="s">
        <v>62</v>
      </c>
      <c r="I97" s="3">
        <v>98765.34</v>
      </c>
      <c r="J97" t="s">
        <v>71</v>
      </c>
      <c r="K97" t="s">
        <v>420</v>
      </c>
      <c r="L97" s="4">
        <v>44963</v>
      </c>
      <c r="M97" s="4" t="str">
        <f>TEXT(Table2[[#This Row],[Hire_Date]],"ddd")</f>
        <v>Mon</v>
      </c>
      <c r="N97" s="4" t="str">
        <f t="shared" si="5"/>
        <v>Feb</v>
      </c>
      <c r="O97" s="4" t="str">
        <f t="shared" si="6"/>
        <v>2023</v>
      </c>
      <c r="P97">
        <v>6.2</v>
      </c>
      <c r="Q97">
        <v>11</v>
      </c>
      <c r="R97" t="s">
        <v>78</v>
      </c>
      <c r="S97">
        <v>74</v>
      </c>
    </row>
    <row r="98" spans="1:19" x14ac:dyDescent="0.3">
      <c r="A98" t="str">
        <f t="shared" ref="A98:A129" si="7">"EMP"&amp;TEXT(ROW()-1,"000")</f>
        <v>EMP097</v>
      </c>
      <c r="B98" t="s">
        <v>422</v>
      </c>
      <c r="C98">
        <v>44</v>
      </c>
      <c r="D98" t="s">
        <v>68</v>
      </c>
      <c r="E98" t="s">
        <v>121</v>
      </c>
      <c r="F98" t="s">
        <v>887</v>
      </c>
      <c r="G98" t="s">
        <v>19</v>
      </c>
      <c r="H98" s="6" t="s">
        <v>135</v>
      </c>
      <c r="I98" s="3">
        <v>485438.4</v>
      </c>
      <c r="J98" t="s">
        <v>423</v>
      </c>
      <c r="K98" t="s">
        <v>424</v>
      </c>
      <c r="L98" s="4">
        <v>44196</v>
      </c>
      <c r="M98" s="4" t="str">
        <f>TEXT(Table2[[#This Row],[Hire_Date]],"ddd")</f>
        <v>Thu</v>
      </c>
      <c r="N98" s="4" t="str">
        <f t="shared" si="5"/>
        <v>Dec</v>
      </c>
      <c r="O98" s="4" t="str">
        <f t="shared" si="6"/>
        <v>2020</v>
      </c>
      <c r="P98">
        <v>7.5</v>
      </c>
      <c r="Q98">
        <v>20</v>
      </c>
      <c r="R98" t="s">
        <v>887</v>
      </c>
      <c r="S98">
        <v>92</v>
      </c>
    </row>
    <row r="99" spans="1:19" x14ac:dyDescent="0.3">
      <c r="A99" t="str">
        <f t="shared" si="7"/>
        <v>EMP098</v>
      </c>
      <c r="B99" t="s">
        <v>830</v>
      </c>
      <c r="C99">
        <v>26</v>
      </c>
      <c r="D99" t="s">
        <v>887</v>
      </c>
      <c r="E99" t="s">
        <v>115</v>
      </c>
      <c r="F99" t="s">
        <v>93</v>
      </c>
      <c r="G99" t="s">
        <v>19</v>
      </c>
      <c r="H99" s="6" t="s">
        <v>887</v>
      </c>
      <c r="I99" s="3">
        <v>364828.8</v>
      </c>
      <c r="J99" t="s">
        <v>427</v>
      </c>
      <c r="K99" t="s">
        <v>428</v>
      </c>
      <c r="L99" s="4">
        <v>45415</v>
      </c>
      <c r="M99" s="4" t="str">
        <f>TEXT(Table2[[#This Row],[Hire_Date]],"ddd")</f>
        <v>Fri</v>
      </c>
      <c r="N99" s="4" t="str">
        <f t="shared" si="5"/>
        <v>May</v>
      </c>
      <c r="O99" s="4" t="str">
        <f t="shared" si="6"/>
        <v>2024</v>
      </c>
      <c r="P99">
        <v>3.8</v>
      </c>
      <c r="Q99">
        <v>0</v>
      </c>
      <c r="R99" t="s">
        <v>78</v>
      </c>
      <c r="S99">
        <v>99</v>
      </c>
    </row>
    <row r="100" spans="1:19" x14ac:dyDescent="0.3">
      <c r="A100" t="str">
        <f t="shared" si="7"/>
        <v>EMP099</v>
      </c>
      <c r="B100" t="s">
        <v>831</v>
      </c>
      <c r="C100">
        <v>36</v>
      </c>
      <c r="D100" t="s">
        <v>68</v>
      </c>
      <c r="E100" t="s">
        <v>129</v>
      </c>
      <c r="F100" t="s">
        <v>93</v>
      </c>
      <c r="G100" t="s">
        <v>94</v>
      </c>
      <c r="H100" s="6" t="s">
        <v>62</v>
      </c>
      <c r="I100" s="3">
        <v>437253.24</v>
      </c>
      <c r="J100" t="s">
        <v>432</v>
      </c>
      <c r="K100" t="s">
        <v>433</v>
      </c>
      <c r="L100" s="4">
        <v>45414</v>
      </c>
      <c r="M100" s="4" t="str">
        <f>TEXT(Table2[[#This Row],[Hire_Date]],"ddd")</f>
        <v>Thu</v>
      </c>
      <c r="N100" s="4" t="str">
        <f t="shared" si="5"/>
        <v>May</v>
      </c>
      <c r="O100" s="4" t="str">
        <f t="shared" si="6"/>
        <v>2024</v>
      </c>
      <c r="P100">
        <v>4.5</v>
      </c>
      <c r="Q100">
        <v>26</v>
      </c>
      <c r="R100" t="s">
        <v>887</v>
      </c>
      <c r="S100">
        <v>38</v>
      </c>
    </row>
    <row r="101" spans="1:19" x14ac:dyDescent="0.3">
      <c r="A101" t="str">
        <f t="shared" si="7"/>
        <v>EMP100</v>
      </c>
      <c r="B101" t="s">
        <v>832</v>
      </c>
      <c r="C101">
        <v>36</v>
      </c>
      <c r="D101" t="s">
        <v>68</v>
      </c>
      <c r="E101" t="s">
        <v>121</v>
      </c>
      <c r="F101" t="s">
        <v>70</v>
      </c>
      <c r="G101" t="s">
        <v>36</v>
      </c>
      <c r="H101" s="6" t="s">
        <v>887</v>
      </c>
      <c r="I101" s="3">
        <v>688948.99</v>
      </c>
      <c r="J101" t="s">
        <v>436</v>
      </c>
      <c r="K101" t="s">
        <v>437</v>
      </c>
      <c r="L101" s="4">
        <v>40793</v>
      </c>
      <c r="M101" s="4" t="str">
        <f>TEXT(Table2[[#This Row],[Hire_Date]],"ddd")</f>
        <v>Wed</v>
      </c>
      <c r="N101" s="4" t="str">
        <f t="shared" si="5"/>
        <v>Sep</v>
      </c>
      <c r="O101" s="4" t="str">
        <f t="shared" si="6"/>
        <v>2011</v>
      </c>
      <c r="P101">
        <v>2.4</v>
      </c>
      <c r="Q101">
        <v>12</v>
      </c>
      <c r="R101" t="s">
        <v>78</v>
      </c>
      <c r="S101">
        <v>73</v>
      </c>
    </row>
    <row r="102" spans="1:19" x14ac:dyDescent="0.3">
      <c r="A102" t="str">
        <f t="shared" si="7"/>
        <v>EMP101</v>
      </c>
      <c r="B102" t="s">
        <v>439</v>
      </c>
      <c r="C102">
        <v>25</v>
      </c>
      <c r="D102" t="s">
        <v>68</v>
      </c>
      <c r="E102" t="s">
        <v>129</v>
      </c>
      <c r="F102" t="s">
        <v>48</v>
      </c>
      <c r="G102" t="s">
        <v>94</v>
      </c>
      <c r="H102" s="6" t="s">
        <v>44</v>
      </c>
      <c r="I102" s="3">
        <v>433482.76</v>
      </c>
      <c r="J102" t="s">
        <v>440</v>
      </c>
      <c r="K102" t="s">
        <v>441</v>
      </c>
      <c r="L102" s="4" t="s">
        <v>442</v>
      </c>
      <c r="M102" s="4" t="str">
        <f>TEXT(Table2[[#This Row],[Hire_Date]],"ddd")</f>
        <v>24/06/2014</v>
      </c>
      <c r="N102" s="4" t="str">
        <f t="shared" si="5"/>
        <v>24/06/2014</v>
      </c>
      <c r="O102" s="4" t="str">
        <f t="shared" si="6"/>
        <v>24/06/2014</v>
      </c>
      <c r="P102">
        <v>1.8</v>
      </c>
      <c r="Q102">
        <v>24</v>
      </c>
      <c r="R102" t="s">
        <v>39</v>
      </c>
      <c r="S102">
        <v>0</v>
      </c>
    </row>
    <row r="103" spans="1:19" x14ac:dyDescent="0.3">
      <c r="A103" t="str">
        <f t="shared" si="7"/>
        <v>EMP102</v>
      </c>
      <c r="B103" t="s">
        <v>833</v>
      </c>
      <c r="C103">
        <v>58</v>
      </c>
      <c r="D103" t="s">
        <v>68</v>
      </c>
      <c r="E103" t="s">
        <v>55</v>
      </c>
      <c r="F103" t="s">
        <v>18</v>
      </c>
      <c r="G103" t="s">
        <v>43</v>
      </c>
      <c r="H103" s="6" t="s">
        <v>887</v>
      </c>
      <c r="I103" s="3">
        <v>560577.29</v>
      </c>
      <c r="J103" t="s">
        <v>444</v>
      </c>
      <c r="K103" t="s">
        <v>445</v>
      </c>
      <c r="L103" s="4">
        <v>44714</v>
      </c>
      <c r="M103" s="4" t="str">
        <f>TEXT(Table2[[#This Row],[Hire_Date]],"ddd")</f>
        <v>Thu</v>
      </c>
      <c r="N103" s="4" t="str">
        <f t="shared" si="5"/>
        <v>Jun</v>
      </c>
      <c r="O103" s="4" t="str">
        <f t="shared" si="6"/>
        <v>2022</v>
      </c>
      <c r="P103">
        <v>9.1</v>
      </c>
      <c r="Q103">
        <v>33</v>
      </c>
      <c r="R103" t="s">
        <v>887</v>
      </c>
      <c r="S103">
        <v>15</v>
      </c>
    </row>
    <row r="104" spans="1:19" x14ac:dyDescent="0.3">
      <c r="A104" t="str">
        <f t="shared" si="7"/>
        <v>EMP103</v>
      </c>
      <c r="B104" t="s">
        <v>834</v>
      </c>
      <c r="C104">
        <v>35</v>
      </c>
      <c r="D104" t="s">
        <v>33</v>
      </c>
      <c r="E104" t="s">
        <v>115</v>
      </c>
      <c r="F104" t="s">
        <v>70</v>
      </c>
      <c r="G104" t="s">
        <v>94</v>
      </c>
      <c r="H104" s="6" t="s">
        <v>28</v>
      </c>
      <c r="I104" s="3">
        <v>384829.93</v>
      </c>
      <c r="J104" t="s">
        <v>448</v>
      </c>
      <c r="K104" t="s">
        <v>449</v>
      </c>
      <c r="L104" s="4">
        <v>42798</v>
      </c>
      <c r="M104" s="4" t="str">
        <f>TEXT(Table2[[#This Row],[Hire_Date]],"ddd")</f>
        <v>Sat</v>
      </c>
      <c r="N104" s="4" t="str">
        <f t="shared" si="5"/>
        <v>Mar</v>
      </c>
      <c r="O104" s="4" t="str">
        <f t="shared" si="6"/>
        <v>2017</v>
      </c>
      <c r="P104">
        <v>6.3</v>
      </c>
      <c r="Q104">
        <v>9</v>
      </c>
      <c r="R104" t="s">
        <v>78</v>
      </c>
      <c r="S104">
        <v>97</v>
      </c>
    </row>
    <row r="105" spans="1:19" x14ac:dyDescent="0.3">
      <c r="A105" t="str">
        <f t="shared" si="7"/>
        <v>EMP104</v>
      </c>
      <c r="B105" t="s">
        <v>451</v>
      </c>
      <c r="C105">
        <v>40</v>
      </c>
      <c r="D105" t="s">
        <v>68</v>
      </c>
      <c r="E105" t="s">
        <v>69</v>
      </c>
      <c r="F105" t="s">
        <v>18</v>
      </c>
      <c r="G105" t="s">
        <v>27</v>
      </c>
      <c r="H105" s="6" t="s">
        <v>135</v>
      </c>
      <c r="I105" s="3">
        <v>712083.37</v>
      </c>
      <c r="J105" t="s">
        <v>453</v>
      </c>
      <c r="K105" t="s">
        <v>454</v>
      </c>
      <c r="M105" s="4" t="str">
        <f>TEXT(Table2[[#This Row],[Hire_Date]],"ddd")</f>
        <v>Sat</v>
      </c>
      <c r="N105" s="4" t="str">
        <f t="shared" si="5"/>
        <v>Jan</v>
      </c>
      <c r="O105" s="4" t="str">
        <f t="shared" si="6"/>
        <v>1900</v>
      </c>
      <c r="P105">
        <v>1.2</v>
      </c>
      <c r="Q105">
        <v>17</v>
      </c>
      <c r="R105" t="s">
        <v>78</v>
      </c>
      <c r="S105">
        <v>10</v>
      </c>
    </row>
    <row r="106" spans="1:19" x14ac:dyDescent="0.3">
      <c r="A106" t="str">
        <f t="shared" si="7"/>
        <v>EMP105</v>
      </c>
      <c r="B106" t="s">
        <v>455</v>
      </c>
      <c r="C106">
        <v>50</v>
      </c>
      <c r="D106" t="s">
        <v>16</v>
      </c>
      <c r="E106" t="s">
        <v>34</v>
      </c>
      <c r="F106" t="s">
        <v>61</v>
      </c>
      <c r="G106" t="s">
        <v>43</v>
      </c>
      <c r="H106" s="6" t="s">
        <v>28</v>
      </c>
      <c r="I106" s="3">
        <v>0</v>
      </c>
      <c r="J106" t="s">
        <v>456</v>
      </c>
      <c r="K106" t="s">
        <v>457</v>
      </c>
      <c r="L106" s="4">
        <v>44410</v>
      </c>
      <c r="M106" s="4" t="str">
        <f>TEXT(Table2[[#This Row],[Hire_Date]],"ddd")</f>
        <v>Mon</v>
      </c>
      <c r="N106" s="4" t="str">
        <f t="shared" si="5"/>
        <v>Aug</v>
      </c>
      <c r="O106" s="4" t="str">
        <f t="shared" si="6"/>
        <v>2021</v>
      </c>
      <c r="P106">
        <v>1.3</v>
      </c>
      <c r="Q106">
        <v>3</v>
      </c>
      <c r="R106" t="s">
        <v>887</v>
      </c>
      <c r="S106">
        <v>0</v>
      </c>
    </row>
    <row r="107" spans="1:19" x14ac:dyDescent="0.3">
      <c r="A107" t="str">
        <f t="shared" si="7"/>
        <v>EMP106</v>
      </c>
      <c r="B107" t="s">
        <v>835</v>
      </c>
      <c r="C107">
        <v>54</v>
      </c>
      <c r="D107" t="s">
        <v>68</v>
      </c>
      <c r="E107" t="s">
        <v>80</v>
      </c>
      <c r="F107" t="s">
        <v>48</v>
      </c>
      <c r="G107" t="s">
        <v>36</v>
      </c>
      <c r="H107" s="6" t="s">
        <v>62</v>
      </c>
      <c r="I107" s="3">
        <v>570445.54</v>
      </c>
      <c r="J107" t="s">
        <v>461</v>
      </c>
      <c r="K107" t="s">
        <v>22</v>
      </c>
      <c r="L107" s="4">
        <v>44695</v>
      </c>
      <c r="M107" s="4" t="str">
        <f>TEXT(Table2[[#This Row],[Hire_Date]],"ddd")</f>
        <v>Sat</v>
      </c>
      <c r="N107" s="4" t="str">
        <f t="shared" si="5"/>
        <v>May</v>
      </c>
      <c r="O107" s="4" t="str">
        <f t="shared" si="6"/>
        <v>2022</v>
      </c>
      <c r="P107">
        <v>8.6999999999999993</v>
      </c>
      <c r="Q107">
        <v>17</v>
      </c>
      <c r="R107" t="s">
        <v>39</v>
      </c>
      <c r="S107">
        <v>0</v>
      </c>
    </row>
    <row r="108" spans="1:19" x14ac:dyDescent="0.3">
      <c r="A108" t="str">
        <f t="shared" si="7"/>
        <v>EMP107</v>
      </c>
      <c r="B108" t="s">
        <v>836</v>
      </c>
      <c r="C108" t="s">
        <v>887</v>
      </c>
      <c r="D108" t="s">
        <v>887</v>
      </c>
      <c r="E108" t="s">
        <v>887</v>
      </c>
      <c r="F108" t="s">
        <v>88</v>
      </c>
      <c r="G108" t="s">
        <v>94</v>
      </c>
      <c r="H108" s="6" t="s">
        <v>62</v>
      </c>
      <c r="I108" s="3">
        <v>261721.12</v>
      </c>
      <c r="J108" t="s">
        <v>464</v>
      </c>
      <c r="K108" t="s">
        <v>465</v>
      </c>
      <c r="L108" s="4">
        <v>43035</v>
      </c>
      <c r="M108" s="4" t="str">
        <f>TEXT(Table2[[#This Row],[Hire_Date]],"ddd")</f>
        <v>Fri</v>
      </c>
      <c r="N108" s="4" t="str">
        <f t="shared" si="5"/>
        <v>Oct</v>
      </c>
      <c r="O108" s="4" t="str">
        <f t="shared" si="6"/>
        <v>2017</v>
      </c>
      <c r="P108">
        <v>6.8</v>
      </c>
      <c r="Q108">
        <v>6</v>
      </c>
      <c r="R108" t="s">
        <v>39</v>
      </c>
      <c r="S108">
        <v>64</v>
      </c>
    </row>
    <row r="109" spans="1:19" x14ac:dyDescent="0.3">
      <c r="A109" t="str">
        <f t="shared" si="7"/>
        <v>EMP108</v>
      </c>
      <c r="B109" t="s">
        <v>467</v>
      </c>
      <c r="C109">
        <v>41</v>
      </c>
      <c r="D109" t="s">
        <v>16</v>
      </c>
      <c r="E109" t="s">
        <v>99</v>
      </c>
      <c r="F109" t="s">
        <v>35</v>
      </c>
      <c r="G109" t="s">
        <v>36</v>
      </c>
      <c r="H109" s="6" t="s">
        <v>62</v>
      </c>
      <c r="I109" s="3">
        <v>253017.5</v>
      </c>
      <c r="J109" t="s">
        <v>468</v>
      </c>
      <c r="K109"/>
      <c r="L109" s="4">
        <v>41325</v>
      </c>
      <c r="M109" s="4" t="str">
        <f>TEXT(Table2[[#This Row],[Hire_Date]],"ddd")</f>
        <v>Wed</v>
      </c>
      <c r="N109" s="4" t="str">
        <f t="shared" si="5"/>
        <v>Feb</v>
      </c>
      <c r="O109" s="4" t="str">
        <f t="shared" si="6"/>
        <v>2013</v>
      </c>
      <c r="P109">
        <v>4.0999999999999996</v>
      </c>
      <c r="Q109">
        <v>30</v>
      </c>
      <c r="R109" t="s">
        <v>78</v>
      </c>
      <c r="S109">
        <v>30</v>
      </c>
    </row>
    <row r="110" spans="1:19" x14ac:dyDescent="0.3">
      <c r="A110" t="str">
        <f t="shared" si="7"/>
        <v>EMP109</v>
      </c>
      <c r="B110" t="s">
        <v>470</v>
      </c>
      <c r="C110">
        <v>52</v>
      </c>
      <c r="D110" t="s">
        <v>68</v>
      </c>
      <c r="E110" t="s">
        <v>80</v>
      </c>
      <c r="F110" t="s">
        <v>42</v>
      </c>
      <c r="G110" t="s">
        <v>43</v>
      </c>
      <c r="H110" s="6" t="s">
        <v>62</v>
      </c>
      <c r="I110" s="3">
        <v>662007.59</v>
      </c>
      <c r="J110" t="s">
        <v>471</v>
      </c>
      <c r="K110" t="s">
        <v>472</v>
      </c>
      <c r="L110" s="4">
        <v>43089</v>
      </c>
      <c r="M110" s="4" t="str">
        <f>TEXT(Table2[[#This Row],[Hire_Date]],"ddd")</f>
        <v>Wed</v>
      </c>
      <c r="N110" s="4" t="str">
        <f t="shared" si="5"/>
        <v>Dec</v>
      </c>
      <c r="O110" s="4" t="str">
        <f t="shared" si="6"/>
        <v>2017</v>
      </c>
      <c r="P110">
        <v>1.5</v>
      </c>
      <c r="Q110">
        <v>4</v>
      </c>
      <c r="R110" t="s">
        <v>78</v>
      </c>
      <c r="S110">
        <v>87</v>
      </c>
    </row>
    <row r="111" spans="1:19" x14ac:dyDescent="0.3">
      <c r="A111" t="str">
        <f t="shared" si="7"/>
        <v>EMP110</v>
      </c>
      <c r="B111" t="s">
        <v>474</v>
      </c>
      <c r="C111">
        <v>31</v>
      </c>
      <c r="D111" t="s">
        <v>68</v>
      </c>
      <c r="E111" t="s">
        <v>80</v>
      </c>
      <c r="F111" t="s">
        <v>48</v>
      </c>
      <c r="G111" t="s">
        <v>36</v>
      </c>
      <c r="H111" s="6" t="s">
        <v>62</v>
      </c>
      <c r="I111" s="3">
        <v>374618.13</v>
      </c>
      <c r="J111" t="s">
        <v>475</v>
      </c>
      <c r="K111" t="s">
        <v>476</v>
      </c>
      <c r="L111" s="4">
        <v>40841</v>
      </c>
      <c r="M111" s="4" t="str">
        <f>TEXT(Table2[[#This Row],[Hire_Date]],"ddd")</f>
        <v>Tue</v>
      </c>
      <c r="N111" s="4" t="str">
        <f t="shared" si="5"/>
        <v>Oct</v>
      </c>
      <c r="O111" s="4" t="str">
        <f t="shared" si="6"/>
        <v>2011</v>
      </c>
      <c r="P111">
        <v>5.4</v>
      </c>
      <c r="Q111">
        <v>27</v>
      </c>
      <c r="R111" t="s">
        <v>78</v>
      </c>
      <c r="S111">
        <v>48</v>
      </c>
    </row>
    <row r="112" spans="1:19" x14ac:dyDescent="0.3">
      <c r="A112" t="str">
        <f t="shared" si="7"/>
        <v>EMP111</v>
      </c>
      <c r="B112" t="s">
        <v>478</v>
      </c>
      <c r="C112">
        <v>45</v>
      </c>
      <c r="D112" t="s">
        <v>16</v>
      </c>
      <c r="E112" t="s">
        <v>80</v>
      </c>
      <c r="F112" t="s">
        <v>42</v>
      </c>
      <c r="G112" t="s">
        <v>43</v>
      </c>
      <c r="H112" s="6" t="s">
        <v>135</v>
      </c>
      <c r="I112" s="3">
        <v>624930.37</v>
      </c>
      <c r="J112" t="s">
        <v>479</v>
      </c>
      <c r="K112" t="s">
        <v>480</v>
      </c>
      <c r="M112" s="4" t="str">
        <f>TEXT(Table2[[#This Row],[Hire_Date]],"ddd")</f>
        <v>Sat</v>
      </c>
      <c r="N112" s="4" t="str">
        <f t="shared" si="5"/>
        <v>Jan</v>
      </c>
      <c r="O112" s="4" t="str">
        <f t="shared" si="6"/>
        <v>1900</v>
      </c>
      <c r="P112">
        <v>4.9000000000000004</v>
      </c>
      <c r="Q112">
        <v>31</v>
      </c>
      <c r="R112" t="s">
        <v>39</v>
      </c>
      <c r="S112">
        <v>91</v>
      </c>
    </row>
    <row r="113" spans="1:19" x14ac:dyDescent="0.3">
      <c r="A113" t="str">
        <f t="shared" si="7"/>
        <v>EMP112</v>
      </c>
      <c r="B113" t="s">
        <v>837</v>
      </c>
      <c r="C113" t="s">
        <v>887</v>
      </c>
      <c r="D113" t="s">
        <v>16</v>
      </c>
      <c r="E113" t="s">
        <v>121</v>
      </c>
      <c r="F113" t="s">
        <v>61</v>
      </c>
      <c r="G113" t="s">
        <v>43</v>
      </c>
      <c r="H113" s="6" t="s">
        <v>28</v>
      </c>
      <c r="I113" s="3">
        <v>443336.16</v>
      </c>
      <c r="J113" t="s">
        <v>482</v>
      </c>
      <c r="K113" t="s">
        <v>483</v>
      </c>
      <c r="L113" s="4">
        <v>44559</v>
      </c>
      <c r="M113" s="4" t="str">
        <f>TEXT(Table2[[#This Row],[Hire_Date]],"ddd")</f>
        <v>Wed</v>
      </c>
      <c r="N113" s="4" t="str">
        <f t="shared" si="5"/>
        <v>Dec</v>
      </c>
      <c r="O113" s="4" t="str">
        <f t="shared" si="6"/>
        <v>2021</v>
      </c>
      <c r="P113">
        <v>5.9</v>
      </c>
      <c r="Q113">
        <v>0</v>
      </c>
      <c r="R113" t="s">
        <v>39</v>
      </c>
      <c r="S113">
        <v>52</v>
      </c>
    </row>
    <row r="114" spans="1:19" x14ac:dyDescent="0.3">
      <c r="A114" t="str">
        <f t="shared" si="7"/>
        <v>EMP113</v>
      </c>
      <c r="B114" t="s">
        <v>274</v>
      </c>
      <c r="C114">
        <v>28</v>
      </c>
      <c r="D114" t="s">
        <v>68</v>
      </c>
      <c r="E114" t="s">
        <v>887</v>
      </c>
      <c r="F114" t="s">
        <v>42</v>
      </c>
      <c r="G114" t="s">
        <v>43</v>
      </c>
      <c r="H114" s="6" t="s">
        <v>28</v>
      </c>
      <c r="I114" s="3">
        <v>283548.87</v>
      </c>
      <c r="J114" t="s">
        <v>275</v>
      </c>
      <c r="K114" t="s">
        <v>486</v>
      </c>
      <c r="L114" s="4">
        <v>43111</v>
      </c>
      <c r="M114" s="4" t="str">
        <f>TEXT(Table2[[#This Row],[Hire_Date]],"ddd")</f>
        <v>Thu</v>
      </c>
      <c r="N114" s="4" t="str">
        <f t="shared" si="5"/>
        <v>Jan</v>
      </c>
      <c r="O114" s="4" t="str">
        <f t="shared" si="6"/>
        <v>2018</v>
      </c>
      <c r="P114">
        <v>8.5</v>
      </c>
      <c r="Q114">
        <v>5</v>
      </c>
      <c r="R114" t="s">
        <v>78</v>
      </c>
      <c r="S114">
        <v>10</v>
      </c>
    </row>
    <row r="115" spans="1:19" x14ac:dyDescent="0.3">
      <c r="A115" t="str">
        <f t="shared" si="7"/>
        <v>EMP114</v>
      </c>
      <c r="B115" t="s">
        <v>782</v>
      </c>
      <c r="C115">
        <v>38</v>
      </c>
      <c r="D115" t="s">
        <v>887</v>
      </c>
      <c r="E115" t="s">
        <v>80</v>
      </c>
      <c r="F115" t="s">
        <v>48</v>
      </c>
      <c r="G115" t="s">
        <v>94</v>
      </c>
      <c r="H115" s="6" t="s">
        <v>62</v>
      </c>
      <c r="I115" s="3">
        <v>205785.3</v>
      </c>
      <c r="J115" t="s">
        <v>117</v>
      </c>
      <c r="K115" t="s">
        <v>488</v>
      </c>
      <c r="L115" s="4">
        <v>40848</v>
      </c>
      <c r="M115" s="4" t="str">
        <f>TEXT(Table2[[#This Row],[Hire_Date]],"ddd")</f>
        <v>Tue</v>
      </c>
      <c r="N115" s="4" t="str">
        <f t="shared" si="5"/>
        <v>Nov</v>
      </c>
      <c r="O115" s="4" t="str">
        <f t="shared" si="6"/>
        <v>2011</v>
      </c>
      <c r="P115">
        <v>2</v>
      </c>
      <c r="Q115">
        <v>24</v>
      </c>
      <c r="R115" t="s">
        <v>39</v>
      </c>
      <c r="S115">
        <v>65</v>
      </c>
    </row>
    <row r="116" spans="1:19" x14ac:dyDescent="0.3">
      <c r="A116" t="str">
        <f t="shared" si="7"/>
        <v>EMP115</v>
      </c>
      <c r="B116" t="s">
        <v>228</v>
      </c>
      <c r="C116">
        <v>25</v>
      </c>
      <c r="D116" t="s">
        <v>16</v>
      </c>
      <c r="E116" t="s">
        <v>76</v>
      </c>
      <c r="F116" t="s">
        <v>48</v>
      </c>
      <c r="G116" t="s">
        <v>94</v>
      </c>
      <c r="H116" s="6" t="s">
        <v>62</v>
      </c>
      <c r="I116" s="3">
        <v>154673.44</v>
      </c>
      <c r="J116" t="s">
        <v>229</v>
      </c>
      <c r="K116" t="s">
        <v>490</v>
      </c>
      <c r="L116" s="4">
        <v>43116</v>
      </c>
      <c r="M116" s="4" t="str">
        <f>TEXT(Table2[[#This Row],[Hire_Date]],"ddd")</f>
        <v>Tue</v>
      </c>
      <c r="N116" s="4" t="str">
        <f t="shared" si="5"/>
        <v>Jan</v>
      </c>
      <c r="O116" s="4" t="str">
        <f t="shared" si="6"/>
        <v>2018</v>
      </c>
      <c r="P116">
        <v>7.3</v>
      </c>
      <c r="Q116">
        <v>14</v>
      </c>
      <c r="R116" t="s">
        <v>78</v>
      </c>
      <c r="S116">
        <v>52</v>
      </c>
    </row>
    <row r="117" spans="1:19" x14ac:dyDescent="0.3">
      <c r="A117" t="str">
        <f t="shared" si="7"/>
        <v>EMP116</v>
      </c>
      <c r="B117" t="s">
        <v>492</v>
      </c>
      <c r="C117">
        <v>37</v>
      </c>
      <c r="D117" t="s">
        <v>68</v>
      </c>
      <c r="E117" t="s">
        <v>76</v>
      </c>
      <c r="F117" t="s">
        <v>35</v>
      </c>
      <c r="G117" t="s">
        <v>27</v>
      </c>
      <c r="H117" s="6" t="s">
        <v>62</v>
      </c>
      <c r="I117" s="3">
        <v>541811.21</v>
      </c>
      <c r="J117" t="s">
        <v>493</v>
      </c>
      <c r="K117"/>
      <c r="L117" s="4">
        <v>41464</v>
      </c>
      <c r="M117" s="4" t="str">
        <f>TEXT(Table2[[#This Row],[Hire_Date]],"ddd")</f>
        <v>Tue</v>
      </c>
      <c r="N117" s="4" t="str">
        <f t="shared" si="5"/>
        <v>Jul</v>
      </c>
      <c r="O117" s="4" t="str">
        <f t="shared" si="6"/>
        <v>2013</v>
      </c>
      <c r="P117">
        <v>5.6</v>
      </c>
      <c r="Q117">
        <v>15</v>
      </c>
      <c r="R117" t="s">
        <v>39</v>
      </c>
      <c r="S117">
        <v>45</v>
      </c>
    </row>
    <row r="118" spans="1:19" x14ac:dyDescent="0.3">
      <c r="A118" t="str">
        <f t="shared" si="7"/>
        <v>EMP117</v>
      </c>
      <c r="B118" t="s">
        <v>495</v>
      </c>
      <c r="C118" t="s">
        <v>887</v>
      </c>
      <c r="D118" t="s">
        <v>68</v>
      </c>
      <c r="E118" t="s">
        <v>115</v>
      </c>
      <c r="F118" t="s">
        <v>88</v>
      </c>
      <c r="G118" t="s">
        <v>94</v>
      </c>
      <c r="H118" s="6" t="s">
        <v>135</v>
      </c>
      <c r="I118" s="3">
        <v>370476.55</v>
      </c>
      <c r="J118" t="s">
        <v>95</v>
      </c>
      <c r="K118"/>
      <c r="L118" s="4">
        <v>42674</v>
      </c>
      <c r="M118" s="4" t="str">
        <f>TEXT(Table2[[#This Row],[Hire_Date]],"ddd")</f>
        <v>Mon</v>
      </c>
      <c r="N118" s="4" t="str">
        <f t="shared" si="5"/>
        <v>Oct</v>
      </c>
      <c r="O118" s="4" t="str">
        <f t="shared" si="6"/>
        <v>2016</v>
      </c>
      <c r="P118">
        <v>6</v>
      </c>
      <c r="Q118">
        <v>23</v>
      </c>
      <c r="R118" t="s">
        <v>78</v>
      </c>
      <c r="S118">
        <v>66</v>
      </c>
    </row>
    <row r="119" spans="1:19" x14ac:dyDescent="0.3">
      <c r="A119" t="str">
        <f t="shared" si="7"/>
        <v>EMP118</v>
      </c>
      <c r="B119" t="s">
        <v>497</v>
      </c>
      <c r="C119">
        <v>40</v>
      </c>
      <c r="D119" t="s">
        <v>68</v>
      </c>
      <c r="E119" t="s">
        <v>76</v>
      </c>
      <c r="F119" t="s">
        <v>88</v>
      </c>
      <c r="G119" t="s">
        <v>94</v>
      </c>
      <c r="H119" s="6" t="s">
        <v>28</v>
      </c>
      <c r="I119" s="3">
        <v>156552.01</v>
      </c>
      <c r="J119" t="s">
        <v>498</v>
      </c>
      <c r="K119" t="s">
        <v>499</v>
      </c>
      <c r="L119" s="4">
        <v>42262</v>
      </c>
      <c r="M119" s="4" t="str">
        <f>TEXT(Table2[[#This Row],[Hire_Date]],"ddd")</f>
        <v>Tue</v>
      </c>
      <c r="N119" s="4" t="str">
        <f t="shared" si="5"/>
        <v>Sep</v>
      </c>
      <c r="O119" s="4" t="str">
        <f t="shared" si="6"/>
        <v>2015</v>
      </c>
      <c r="P119">
        <v>7.8</v>
      </c>
      <c r="Q119">
        <v>7</v>
      </c>
      <c r="R119" t="s">
        <v>39</v>
      </c>
      <c r="S119">
        <v>59</v>
      </c>
    </row>
    <row r="120" spans="1:19" x14ac:dyDescent="0.3">
      <c r="A120" t="str">
        <f t="shared" si="7"/>
        <v>EMP119</v>
      </c>
      <c r="B120" t="s">
        <v>501</v>
      </c>
      <c r="C120">
        <v>55</v>
      </c>
      <c r="D120" t="s">
        <v>887</v>
      </c>
      <c r="E120" t="s">
        <v>69</v>
      </c>
      <c r="F120" t="s">
        <v>93</v>
      </c>
      <c r="G120" t="s">
        <v>27</v>
      </c>
      <c r="H120" s="6" t="s">
        <v>62</v>
      </c>
      <c r="I120" s="3">
        <v>391623.47</v>
      </c>
      <c r="J120" t="s">
        <v>502</v>
      </c>
      <c r="K120" t="s">
        <v>503</v>
      </c>
      <c r="L120" s="4">
        <v>41230</v>
      </c>
      <c r="M120" s="4" t="str">
        <f>TEXT(Table2[[#This Row],[Hire_Date]],"ddd")</f>
        <v>Sat</v>
      </c>
      <c r="N120" s="4" t="str">
        <f t="shared" si="5"/>
        <v>Nov</v>
      </c>
      <c r="O120" s="4" t="str">
        <f t="shared" si="6"/>
        <v>2012</v>
      </c>
      <c r="P120">
        <v>8.1999999999999993</v>
      </c>
      <c r="Q120">
        <v>32</v>
      </c>
      <c r="R120" t="s">
        <v>78</v>
      </c>
      <c r="S120">
        <v>31</v>
      </c>
    </row>
    <row r="121" spans="1:19" x14ac:dyDescent="0.3">
      <c r="A121" t="str">
        <f t="shared" si="7"/>
        <v>EMP120</v>
      </c>
      <c r="B121" t="s">
        <v>777</v>
      </c>
      <c r="C121">
        <v>35</v>
      </c>
      <c r="D121" t="s">
        <v>887</v>
      </c>
      <c r="E121" t="s">
        <v>55</v>
      </c>
      <c r="F121" t="s">
        <v>70</v>
      </c>
      <c r="G121" t="s">
        <v>43</v>
      </c>
      <c r="H121" s="6" t="s">
        <v>44</v>
      </c>
      <c r="I121" s="3">
        <v>328611.38</v>
      </c>
      <c r="J121" t="s">
        <v>82</v>
      </c>
      <c r="K121" t="s">
        <v>22</v>
      </c>
      <c r="L121" s="4">
        <v>45396</v>
      </c>
      <c r="M121" s="4" t="str">
        <f>TEXT(Table2[[#This Row],[Hire_Date]],"ddd")</f>
        <v>Sun</v>
      </c>
      <c r="N121" s="4" t="str">
        <f t="shared" si="5"/>
        <v>Apr</v>
      </c>
      <c r="O121" s="4" t="str">
        <f t="shared" si="6"/>
        <v>2024</v>
      </c>
      <c r="P121">
        <v>0</v>
      </c>
      <c r="Q121" t="s">
        <v>887</v>
      </c>
      <c r="R121" t="s">
        <v>39</v>
      </c>
      <c r="S121">
        <v>0</v>
      </c>
    </row>
    <row r="122" spans="1:19" x14ac:dyDescent="0.3">
      <c r="A122" t="str">
        <f t="shared" si="7"/>
        <v>EMP121</v>
      </c>
      <c r="B122" t="s">
        <v>838</v>
      </c>
      <c r="C122">
        <v>40</v>
      </c>
      <c r="D122" t="s">
        <v>68</v>
      </c>
      <c r="E122" t="s">
        <v>34</v>
      </c>
      <c r="F122" t="s">
        <v>88</v>
      </c>
      <c r="G122" t="s">
        <v>27</v>
      </c>
      <c r="H122" s="6" t="s">
        <v>62</v>
      </c>
      <c r="I122" s="3">
        <v>124663.63</v>
      </c>
      <c r="J122" t="s">
        <v>508</v>
      </c>
      <c r="K122" t="s">
        <v>509</v>
      </c>
      <c r="L122" s="4">
        <v>45226</v>
      </c>
      <c r="M122" s="4" t="str">
        <f>TEXT(Table2[[#This Row],[Hire_Date]],"ddd")</f>
        <v>Fri</v>
      </c>
      <c r="N122" s="4" t="str">
        <f t="shared" si="5"/>
        <v>Oct</v>
      </c>
      <c r="O122" s="4" t="str">
        <f t="shared" si="6"/>
        <v>2023</v>
      </c>
      <c r="P122">
        <v>9.3000000000000007</v>
      </c>
      <c r="Q122">
        <v>20</v>
      </c>
      <c r="R122" t="s">
        <v>78</v>
      </c>
      <c r="S122">
        <v>0</v>
      </c>
    </row>
    <row r="123" spans="1:19" x14ac:dyDescent="0.3">
      <c r="A123" t="str">
        <f t="shared" si="7"/>
        <v>EMP122</v>
      </c>
      <c r="B123" t="s">
        <v>839</v>
      </c>
      <c r="C123">
        <v>36</v>
      </c>
      <c r="D123" t="s">
        <v>33</v>
      </c>
      <c r="E123" t="s">
        <v>129</v>
      </c>
      <c r="F123" t="s">
        <v>70</v>
      </c>
      <c r="G123" t="s">
        <v>43</v>
      </c>
      <c r="H123" s="6" t="s">
        <v>44</v>
      </c>
      <c r="I123" s="3">
        <v>546295.31999999995</v>
      </c>
      <c r="J123" t="s">
        <v>512</v>
      </c>
      <c r="K123" t="s">
        <v>513</v>
      </c>
      <c r="L123" s="4">
        <v>43855</v>
      </c>
      <c r="M123" s="4" t="str">
        <f>TEXT(Table2[[#This Row],[Hire_Date]],"ddd")</f>
        <v>Sat</v>
      </c>
      <c r="N123" s="4" t="str">
        <f t="shared" si="5"/>
        <v>Jan</v>
      </c>
      <c r="O123" s="4" t="str">
        <f t="shared" si="6"/>
        <v>2020</v>
      </c>
      <c r="P123">
        <v>2.2000000000000002</v>
      </c>
      <c r="Q123">
        <v>21</v>
      </c>
      <c r="R123" t="s">
        <v>39</v>
      </c>
      <c r="S123">
        <v>0</v>
      </c>
    </row>
    <row r="124" spans="1:19" x14ac:dyDescent="0.3">
      <c r="A124" t="str">
        <f t="shared" si="7"/>
        <v>EMP123</v>
      </c>
      <c r="B124" t="s">
        <v>290</v>
      </c>
      <c r="C124">
        <v>41</v>
      </c>
      <c r="D124" t="s">
        <v>68</v>
      </c>
      <c r="E124" t="s">
        <v>115</v>
      </c>
      <c r="F124" t="s">
        <v>18</v>
      </c>
      <c r="G124" t="s">
        <v>36</v>
      </c>
      <c r="H124" s="6" t="s">
        <v>62</v>
      </c>
      <c r="I124" s="3">
        <v>337821.62</v>
      </c>
      <c r="J124" t="s">
        <v>291</v>
      </c>
      <c r="K124" t="s">
        <v>515</v>
      </c>
      <c r="M124" s="4" t="str">
        <f>TEXT(Table2[[#This Row],[Hire_Date]],"ddd")</f>
        <v>Sat</v>
      </c>
      <c r="N124" s="4" t="str">
        <f t="shared" si="5"/>
        <v>Jan</v>
      </c>
      <c r="O124" s="4" t="str">
        <f t="shared" si="6"/>
        <v>1900</v>
      </c>
      <c r="P124">
        <v>5.3</v>
      </c>
      <c r="Q124">
        <v>0</v>
      </c>
      <c r="R124" t="s">
        <v>78</v>
      </c>
      <c r="S124">
        <v>90</v>
      </c>
    </row>
    <row r="125" spans="1:19" x14ac:dyDescent="0.3">
      <c r="A125" t="str">
        <f t="shared" si="7"/>
        <v>EMP124</v>
      </c>
      <c r="B125" t="s">
        <v>274</v>
      </c>
      <c r="C125">
        <v>42</v>
      </c>
      <c r="D125" t="s">
        <v>68</v>
      </c>
      <c r="E125" t="s">
        <v>34</v>
      </c>
      <c r="F125" t="s">
        <v>61</v>
      </c>
      <c r="G125" t="s">
        <v>43</v>
      </c>
      <c r="H125" s="6" t="s">
        <v>62</v>
      </c>
      <c r="I125" s="3">
        <v>0</v>
      </c>
      <c r="J125" t="s">
        <v>275</v>
      </c>
      <c r="K125" t="s">
        <v>22</v>
      </c>
      <c r="L125" s="4">
        <v>44346</v>
      </c>
      <c r="M125" s="4" t="str">
        <f>TEXT(Table2[[#This Row],[Hire_Date]],"ddd")</f>
        <v>Sun</v>
      </c>
      <c r="N125" s="4" t="str">
        <f t="shared" si="5"/>
        <v>May</v>
      </c>
      <c r="O125" s="4" t="str">
        <f t="shared" si="6"/>
        <v>2021</v>
      </c>
      <c r="P125">
        <v>1.1000000000000001</v>
      </c>
      <c r="Q125">
        <v>13</v>
      </c>
      <c r="R125" t="s">
        <v>78</v>
      </c>
      <c r="S125">
        <v>21</v>
      </c>
    </row>
    <row r="126" spans="1:19" x14ac:dyDescent="0.3">
      <c r="A126" t="str">
        <f t="shared" si="7"/>
        <v>EMP125</v>
      </c>
      <c r="B126" t="s">
        <v>517</v>
      </c>
      <c r="C126" t="s">
        <v>887</v>
      </c>
      <c r="D126" t="s">
        <v>68</v>
      </c>
      <c r="E126" t="s">
        <v>34</v>
      </c>
      <c r="F126" t="s">
        <v>887</v>
      </c>
      <c r="G126" t="s">
        <v>43</v>
      </c>
      <c r="H126" s="6" t="s">
        <v>28</v>
      </c>
      <c r="I126" s="3">
        <v>132738.57999999999</v>
      </c>
      <c r="J126" t="s">
        <v>518</v>
      </c>
      <c r="K126" t="s">
        <v>519</v>
      </c>
      <c r="L126" s="4">
        <v>43357</v>
      </c>
      <c r="M126" s="4" t="str">
        <f>TEXT(Table2[[#This Row],[Hire_Date]],"ddd")</f>
        <v>Fri</v>
      </c>
      <c r="N126" s="4" t="str">
        <f t="shared" si="5"/>
        <v>Sep</v>
      </c>
      <c r="O126" s="4" t="str">
        <f t="shared" si="6"/>
        <v>2018</v>
      </c>
      <c r="P126">
        <v>1.4</v>
      </c>
      <c r="Q126">
        <v>32</v>
      </c>
      <c r="R126" t="s">
        <v>39</v>
      </c>
      <c r="S126">
        <v>61</v>
      </c>
    </row>
    <row r="127" spans="1:19" x14ac:dyDescent="0.3">
      <c r="A127" t="str">
        <f t="shared" si="7"/>
        <v>EMP126</v>
      </c>
      <c r="B127" t="s">
        <v>521</v>
      </c>
      <c r="C127">
        <v>23</v>
      </c>
      <c r="D127" t="s">
        <v>68</v>
      </c>
      <c r="E127" t="s">
        <v>121</v>
      </c>
      <c r="F127" t="s">
        <v>61</v>
      </c>
      <c r="G127" t="s">
        <v>43</v>
      </c>
      <c r="H127" s="6" t="s">
        <v>62</v>
      </c>
      <c r="I127" s="3">
        <v>178194.65</v>
      </c>
      <c r="J127" t="s">
        <v>523</v>
      </c>
      <c r="K127" t="s">
        <v>524</v>
      </c>
      <c r="L127" s="4">
        <v>45486</v>
      </c>
      <c r="M127" s="4" t="str">
        <f>TEXT(Table2[[#This Row],[Hire_Date]],"ddd")</f>
        <v>Sat</v>
      </c>
      <c r="N127" s="4" t="str">
        <f t="shared" si="5"/>
        <v>Jul</v>
      </c>
      <c r="O127" s="4" t="str">
        <f t="shared" si="6"/>
        <v>2024</v>
      </c>
      <c r="P127">
        <v>9.5</v>
      </c>
      <c r="Q127">
        <v>22</v>
      </c>
      <c r="R127" t="s">
        <v>887</v>
      </c>
      <c r="S127">
        <v>14</v>
      </c>
    </row>
    <row r="128" spans="1:19" x14ac:dyDescent="0.3">
      <c r="A128" t="str">
        <f t="shared" si="7"/>
        <v>EMP127</v>
      </c>
      <c r="B128" t="s">
        <v>840</v>
      </c>
      <c r="C128">
        <v>34</v>
      </c>
      <c r="D128" t="s">
        <v>887</v>
      </c>
      <c r="E128" t="s">
        <v>76</v>
      </c>
      <c r="F128" t="s">
        <v>70</v>
      </c>
      <c r="G128" t="s">
        <v>116</v>
      </c>
      <c r="H128" s="6" t="s">
        <v>28</v>
      </c>
      <c r="I128" s="3">
        <v>488450.7</v>
      </c>
      <c r="J128" t="s">
        <v>527</v>
      </c>
      <c r="K128" t="s">
        <v>22</v>
      </c>
      <c r="L128" s="4">
        <v>40778</v>
      </c>
      <c r="M128" s="4" t="str">
        <f>TEXT(Table2[[#This Row],[Hire_Date]],"ddd")</f>
        <v>Tue</v>
      </c>
      <c r="N128" s="4" t="str">
        <f t="shared" si="5"/>
        <v>Aug</v>
      </c>
      <c r="O128" s="4" t="str">
        <f t="shared" si="6"/>
        <v>2011</v>
      </c>
      <c r="P128">
        <v>3.6</v>
      </c>
      <c r="Q128">
        <v>31</v>
      </c>
      <c r="R128" t="s">
        <v>78</v>
      </c>
      <c r="S128">
        <v>69</v>
      </c>
    </row>
    <row r="129" spans="1:19" x14ac:dyDescent="0.3">
      <c r="A129" t="str">
        <f t="shared" si="7"/>
        <v>EMP128</v>
      </c>
      <c r="B129" t="s">
        <v>841</v>
      </c>
      <c r="C129">
        <v>49</v>
      </c>
      <c r="D129" t="s">
        <v>887</v>
      </c>
      <c r="E129" t="s">
        <v>129</v>
      </c>
      <c r="F129" t="s">
        <v>42</v>
      </c>
      <c r="G129" t="s">
        <v>19</v>
      </c>
      <c r="H129" s="6" t="s">
        <v>62</v>
      </c>
      <c r="I129" s="3">
        <v>645675.28</v>
      </c>
      <c r="J129" t="s">
        <v>530</v>
      </c>
      <c r="K129" t="s">
        <v>531</v>
      </c>
      <c r="L129" s="4">
        <v>43970</v>
      </c>
      <c r="M129" s="4" t="str">
        <f>TEXT(Table2[[#This Row],[Hire_Date]],"ddd")</f>
        <v>Tue</v>
      </c>
      <c r="N129" s="4" t="str">
        <f t="shared" si="5"/>
        <v>May</v>
      </c>
      <c r="O129" s="4" t="str">
        <f t="shared" si="6"/>
        <v>2020</v>
      </c>
      <c r="P129">
        <v>2.8</v>
      </c>
      <c r="Q129">
        <v>4</v>
      </c>
      <c r="R129" t="s">
        <v>887</v>
      </c>
      <c r="S129">
        <v>3</v>
      </c>
    </row>
    <row r="130" spans="1:19" x14ac:dyDescent="0.3">
      <c r="A130" t="str">
        <f t="shared" ref="A130:A161" si="8">"EMP"&amp;TEXT(ROW()-1,"000")</f>
        <v>EMP129</v>
      </c>
      <c r="B130" t="s">
        <v>842</v>
      </c>
      <c r="C130">
        <v>35</v>
      </c>
      <c r="D130" t="s">
        <v>68</v>
      </c>
      <c r="E130" t="s">
        <v>887</v>
      </c>
      <c r="F130" t="s">
        <v>42</v>
      </c>
      <c r="G130" t="s">
        <v>116</v>
      </c>
      <c r="H130" s="6" t="s">
        <v>28</v>
      </c>
      <c r="I130" s="3">
        <v>471297.91</v>
      </c>
      <c r="J130" t="s">
        <v>534</v>
      </c>
      <c r="K130" t="s">
        <v>535</v>
      </c>
      <c r="L130" s="4">
        <v>45009</v>
      </c>
      <c r="M130" s="4" t="str">
        <f>TEXT(Table2[[#This Row],[Hire_Date]],"ddd")</f>
        <v>Fri</v>
      </c>
      <c r="N130" s="4" t="str">
        <f t="shared" si="5"/>
        <v>Mar</v>
      </c>
      <c r="O130" s="4" t="str">
        <f t="shared" si="6"/>
        <v>2023</v>
      </c>
      <c r="P130">
        <v>7.2</v>
      </c>
      <c r="Q130">
        <v>10</v>
      </c>
      <c r="R130" t="s">
        <v>78</v>
      </c>
      <c r="S130">
        <v>97</v>
      </c>
    </row>
    <row r="131" spans="1:19" x14ac:dyDescent="0.3">
      <c r="A131" t="str">
        <f t="shared" si="8"/>
        <v>EMP130</v>
      </c>
      <c r="B131" t="s">
        <v>537</v>
      </c>
      <c r="C131">
        <v>36</v>
      </c>
      <c r="D131" t="s">
        <v>33</v>
      </c>
      <c r="E131" t="s">
        <v>80</v>
      </c>
      <c r="F131" t="s">
        <v>61</v>
      </c>
      <c r="G131" t="s">
        <v>43</v>
      </c>
      <c r="H131" s="6" t="s">
        <v>28</v>
      </c>
      <c r="I131" s="3">
        <v>270337.12</v>
      </c>
      <c r="J131" t="s">
        <v>538</v>
      </c>
      <c r="K131" t="s">
        <v>539</v>
      </c>
      <c r="L131" s="4">
        <v>43903</v>
      </c>
      <c r="M131" s="4" t="str">
        <f>TEXT(Table2[[#This Row],[Hire_Date]],"ddd")</f>
        <v>Fri</v>
      </c>
      <c r="N131" s="4" t="str">
        <f t="shared" ref="N131:N194" si="9">TEXT(L131,"MMM")</f>
        <v>Mar</v>
      </c>
      <c r="O131" s="4" t="str">
        <f t="shared" ref="O131:O194" si="10">TEXT(L131,"YYY")</f>
        <v>2020</v>
      </c>
      <c r="P131">
        <v>2.6</v>
      </c>
      <c r="Q131">
        <v>4</v>
      </c>
      <c r="R131" t="s">
        <v>887</v>
      </c>
      <c r="S131">
        <v>22</v>
      </c>
    </row>
    <row r="132" spans="1:19" x14ac:dyDescent="0.3">
      <c r="A132" t="str">
        <f t="shared" si="8"/>
        <v>EMP131</v>
      </c>
      <c r="B132" t="s">
        <v>843</v>
      </c>
      <c r="C132">
        <v>53</v>
      </c>
      <c r="D132" t="s">
        <v>68</v>
      </c>
      <c r="E132" t="s">
        <v>129</v>
      </c>
      <c r="F132" t="s">
        <v>70</v>
      </c>
      <c r="G132" t="s">
        <v>116</v>
      </c>
      <c r="H132" s="6" t="s">
        <v>28</v>
      </c>
      <c r="I132" s="3">
        <v>84750.33</v>
      </c>
      <c r="J132" t="s">
        <v>542</v>
      </c>
      <c r="K132" t="s">
        <v>543</v>
      </c>
      <c r="L132" s="4">
        <v>41409</v>
      </c>
      <c r="M132" s="4" t="str">
        <f>TEXT(Table2[[#This Row],[Hire_Date]],"ddd")</f>
        <v>Wed</v>
      </c>
      <c r="N132" s="4" t="str">
        <f t="shared" si="9"/>
        <v>May</v>
      </c>
      <c r="O132" s="4" t="str">
        <f t="shared" si="10"/>
        <v>2013</v>
      </c>
      <c r="P132">
        <v>0</v>
      </c>
      <c r="Q132">
        <v>2</v>
      </c>
      <c r="R132" t="s">
        <v>887</v>
      </c>
      <c r="S132">
        <v>63</v>
      </c>
    </row>
    <row r="133" spans="1:19" x14ac:dyDescent="0.3">
      <c r="A133" t="str">
        <f t="shared" si="8"/>
        <v>EMP132</v>
      </c>
      <c r="B133" t="s">
        <v>844</v>
      </c>
      <c r="C133">
        <v>38</v>
      </c>
      <c r="D133" t="s">
        <v>16</v>
      </c>
      <c r="E133" t="s">
        <v>55</v>
      </c>
      <c r="F133" t="s">
        <v>35</v>
      </c>
      <c r="G133" t="s">
        <v>19</v>
      </c>
      <c r="H133" s="6" t="s">
        <v>28</v>
      </c>
      <c r="I133" s="3">
        <v>371928.55</v>
      </c>
      <c r="J133" t="s">
        <v>546</v>
      </c>
      <c r="K133" t="s">
        <v>547</v>
      </c>
      <c r="L133" s="4">
        <v>41953</v>
      </c>
      <c r="M133" s="4" t="str">
        <f>TEXT(Table2[[#This Row],[Hire_Date]],"ddd")</f>
        <v>Mon</v>
      </c>
      <c r="N133" s="4" t="str">
        <f t="shared" si="9"/>
        <v>Nov</v>
      </c>
      <c r="O133" s="4" t="str">
        <f t="shared" si="10"/>
        <v>2014</v>
      </c>
      <c r="P133">
        <v>6.9</v>
      </c>
      <c r="Q133">
        <v>21</v>
      </c>
      <c r="R133" t="s">
        <v>78</v>
      </c>
      <c r="S133">
        <v>23</v>
      </c>
    </row>
    <row r="134" spans="1:19" x14ac:dyDescent="0.3">
      <c r="A134" t="str">
        <f t="shared" si="8"/>
        <v>EMP133</v>
      </c>
      <c r="B134" t="s">
        <v>845</v>
      </c>
      <c r="C134">
        <v>55</v>
      </c>
      <c r="D134" t="s">
        <v>16</v>
      </c>
      <c r="E134" t="s">
        <v>99</v>
      </c>
      <c r="F134" t="s">
        <v>48</v>
      </c>
      <c r="G134" t="s">
        <v>94</v>
      </c>
      <c r="H134" s="6" t="s">
        <v>62</v>
      </c>
      <c r="I134" s="3">
        <v>0</v>
      </c>
      <c r="J134" t="s">
        <v>550</v>
      </c>
      <c r="K134" t="s">
        <v>22</v>
      </c>
      <c r="L134" s="4">
        <v>41141</v>
      </c>
      <c r="M134" s="4" t="str">
        <f>TEXT(Table2[[#This Row],[Hire_Date]],"ddd")</f>
        <v>Mon</v>
      </c>
      <c r="N134" s="4" t="str">
        <f t="shared" si="9"/>
        <v>Aug</v>
      </c>
      <c r="O134" s="4" t="str">
        <f t="shared" si="10"/>
        <v>2012</v>
      </c>
      <c r="P134">
        <v>4.9000000000000004</v>
      </c>
      <c r="Q134">
        <v>24</v>
      </c>
      <c r="R134" t="s">
        <v>78</v>
      </c>
      <c r="S134">
        <v>76</v>
      </c>
    </row>
    <row r="135" spans="1:19" x14ac:dyDescent="0.3">
      <c r="A135" t="str">
        <f t="shared" si="8"/>
        <v>EMP134</v>
      </c>
      <c r="B135" t="s">
        <v>846</v>
      </c>
      <c r="C135">
        <v>38</v>
      </c>
      <c r="D135" t="s">
        <v>68</v>
      </c>
      <c r="E135" t="s">
        <v>99</v>
      </c>
      <c r="F135" t="s">
        <v>18</v>
      </c>
      <c r="G135" t="s">
        <v>36</v>
      </c>
      <c r="H135" s="6" t="s">
        <v>44</v>
      </c>
      <c r="I135" s="3">
        <v>698518.34</v>
      </c>
      <c r="J135" t="s">
        <v>553</v>
      </c>
      <c r="K135" t="s">
        <v>22</v>
      </c>
      <c r="L135" s="4">
        <v>44459</v>
      </c>
      <c r="M135" s="4" t="str">
        <f>TEXT(Table2[[#This Row],[Hire_Date]],"ddd")</f>
        <v>Mon</v>
      </c>
      <c r="N135" s="4" t="str">
        <f t="shared" si="9"/>
        <v>Sep</v>
      </c>
      <c r="O135" s="4" t="str">
        <f t="shared" si="10"/>
        <v>2021</v>
      </c>
      <c r="P135">
        <v>3.4</v>
      </c>
      <c r="Q135">
        <v>17</v>
      </c>
      <c r="R135" t="s">
        <v>887</v>
      </c>
      <c r="S135">
        <v>41</v>
      </c>
    </row>
    <row r="136" spans="1:19" x14ac:dyDescent="0.3">
      <c r="A136" t="str">
        <f t="shared" si="8"/>
        <v>EMP135</v>
      </c>
      <c r="B136" t="s">
        <v>847</v>
      </c>
      <c r="C136">
        <v>57</v>
      </c>
      <c r="D136" t="s">
        <v>68</v>
      </c>
      <c r="E136" t="s">
        <v>34</v>
      </c>
      <c r="F136" t="s">
        <v>48</v>
      </c>
      <c r="G136" t="s">
        <v>94</v>
      </c>
      <c r="H136" s="6" t="s">
        <v>62</v>
      </c>
      <c r="I136" s="3">
        <v>300790.21999999997</v>
      </c>
      <c r="J136" t="s">
        <v>556</v>
      </c>
      <c r="K136" t="s">
        <v>557</v>
      </c>
      <c r="L136" s="4">
        <v>42061</v>
      </c>
      <c r="M136" s="4" t="str">
        <f>TEXT(Table2[[#This Row],[Hire_Date]],"ddd")</f>
        <v>Thu</v>
      </c>
      <c r="N136" s="4" t="str">
        <f t="shared" si="9"/>
        <v>Feb</v>
      </c>
      <c r="O136" s="4" t="str">
        <f t="shared" si="10"/>
        <v>2015</v>
      </c>
      <c r="P136">
        <v>4.5</v>
      </c>
      <c r="Q136">
        <v>9</v>
      </c>
      <c r="R136" t="s">
        <v>39</v>
      </c>
      <c r="S136">
        <v>6</v>
      </c>
    </row>
    <row r="137" spans="1:19" x14ac:dyDescent="0.3">
      <c r="A137" t="str">
        <f t="shared" si="8"/>
        <v>EMP136</v>
      </c>
      <c r="B137" t="s">
        <v>411</v>
      </c>
      <c r="C137">
        <v>46</v>
      </c>
      <c r="D137" t="s">
        <v>33</v>
      </c>
      <c r="E137" t="s">
        <v>80</v>
      </c>
      <c r="F137" t="s">
        <v>88</v>
      </c>
      <c r="G137" t="s">
        <v>43</v>
      </c>
      <c r="H137" s="6" t="s">
        <v>62</v>
      </c>
      <c r="I137" s="3">
        <v>552446.17000000004</v>
      </c>
      <c r="J137" t="s">
        <v>412</v>
      </c>
      <c r="K137"/>
      <c r="L137" s="4">
        <v>44228</v>
      </c>
      <c r="M137" s="4" t="str">
        <f>TEXT(Table2[[#This Row],[Hire_Date]],"ddd")</f>
        <v>Mon</v>
      </c>
      <c r="N137" s="4" t="str">
        <f t="shared" si="9"/>
        <v>Feb</v>
      </c>
      <c r="O137" s="4" t="str">
        <f t="shared" si="10"/>
        <v>2021</v>
      </c>
      <c r="P137">
        <v>7.3</v>
      </c>
      <c r="Q137">
        <v>23</v>
      </c>
      <c r="R137" t="s">
        <v>39</v>
      </c>
      <c r="S137">
        <v>9</v>
      </c>
    </row>
    <row r="138" spans="1:19" x14ac:dyDescent="0.3">
      <c r="A138" t="str">
        <f t="shared" si="8"/>
        <v>EMP137</v>
      </c>
      <c r="B138" t="s">
        <v>809</v>
      </c>
      <c r="C138">
        <v>47</v>
      </c>
      <c r="D138" t="s">
        <v>68</v>
      </c>
      <c r="E138" t="s">
        <v>99</v>
      </c>
      <c r="F138" t="s">
        <v>42</v>
      </c>
      <c r="G138" t="s">
        <v>43</v>
      </c>
      <c r="H138" s="6" t="s">
        <v>62</v>
      </c>
      <c r="I138" s="3">
        <v>610586.39</v>
      </c>
      <c r="J138" t="s">
        <v>562</v>
      </c>
      <c r="K138" t="s">
        <v>563</v>
      </c>
      <c r="L138" s="4">
        <v>43025</v>
      </c>
      <c r="M138" s="4" t="str">
        <f>TEXT(Table2[[#This Row],[Hire_Date]],"ddd")</f>
        <v>Tue</v>
      </c>
      <c r="N138" s="4" t="str">
        <f t="shared" si="9"/>
        <v>Oct</v>
      </c>
      <c r="O138" s="4" t="str">
        <f t="shared" si="10"/>
        <v>2017</v>
      </c>
      <c r="P138">
        <v>2</v>
      </c>
      <c r="Q138">
        <v>7</v>
      </c>
      <c r="R138" t="s">
        <v>78</v>
      </c>
      <c r="S138">
        <v>81</v>
      </c>
    </row>
    <row r="139" spans="1:19" x14ac:dyDescent="0.3">
      <c r="A139" t="str">
        <f t="shared" si="8"/>
        <v>EMP138</v>
      </c>
      <c r="B139" t="s">
        <v>848</v>
      </c>
      <c r="C139">
        <v>58</v>
      </c>
      <c r="D139" t="s">
        <v>68</v>
      </c>
      <c r="E139" t="s">
        <v>99</v>
      </c>
      <c r="F139" t="s">
        <v>88</v>
      </c>
      <c r="G139" t="s">
        <v>94</v>
      </c>
      <c r="H139" s="6" t="s">
        <v>44</v>
      </c>
      <c r="I139" s="3">
        <v>324555.75</v>
      </c>
      <c r="J139" t="s">
        <v>566</v>
      </c>
      <c r="K139" t="s">
        <v>567</v>
      </c>
      <c r="L139" s="4">
        <v>42291</v>
      </c>
      <c r="M139" s="4" t="str">
        <f>TEXT(Table2[[#This Row],[Hire_Date]],"ddd")</f>
        <v>Wed</v>
      </c>
      <c r="N139" s="4" t="str">
        <f t="shared" si="9"/>
        <v>Oct</v>
      </c>
      <c r="O139" s="4" t="str">
        <f t="shared" si="10"/>
        <v>2015</v>
      </c>
      <c r="P139">
        <v>3.2</v>
      </c>
      <c r="Q139">
        <v>21</v>
      </c>
      <c r="R139" t="s">
        <v>78</v>
      </c>
      <c r="S139">
        <v>35</v>
      </c>
    </row>
    <row r="140" spans="1:19" x14ac:dyDescent="0.3">
      <c r="A140" t="str">
        <f t="shared" si="8"/>
        <v>EMP139</v>
      </c>
      <c r="B140" t="s">
        <v>569</v>
      </c>
      <c r="C140">
        <v>34</v>
      </c>
      <c r="D140" t="s">
        <v>68</v>
      </c>
      <c r="E140" t="s">
        <v>55</v>
      </c>
      <c r="F140" t="s">
        <v>70</v>
      </c>
      <c r="G140" t="s">
        <v>94</v>
      </c>
      <c r="H140" s="6" t="s">
        <v>62</v>
      </c>
      <c r="I140" s="3">
        <v>609508.93000000005</v>
      </c>
      <c r="J140" t="s">
        <v>570</v>
      </c>
      <c r="K140" t="s">
        <v>571</v>
      </c>
      <c r="L140" s="4">
        <v>41456</v>
      </c>
      <c r="M140" s="4" t="str">
        <f>TEXT(Table2[[#This Row],[Hire_Date]],"ddd")</f>
        <v>Mon</v>
      </c>
      <c r="N140" s="4" t="str">
        <f t="shared" si="9"/>
        <v>Jul</v>
      </c>
      <c r="O140" s="4" t="str">
        <f t="shared" si="10"/>
        <v>2013</v>
      </c>
      <c r="P140">
        <v>4.3</v>
      </c>
      <c r="Q140">
        <v>17</v>
      </c>
      <c r="R140" t="s">
        <v>78</v>
      </c>
      <c r="S140">
        <v>28</v>
      </c>
    </row>
    <row r="141" spans="1:19" x14ac:dyDescent="0.3">
      <c r="A141" t="str">
        <f t="shared" si="8"/>
        <v>EMP140</v>
      </c>
      <c r="B141" t="s">
        <v>849</v>
      </c>
      <c r="C141">
        <v>49</v>
      </c>
      <c r="D141" t="s">
        <v>68</v>
      </c>
      <c r="E141" t="s">
        <v>115</v>
      </c>
      <c r="F141" t="s">
        <v>61</v>
      </c>
      <c r="G141" t="s">
        <v>19</v>
      </c>
      <c r="H141" s="6" t="s">
        <v>62</v>
      </c>
      <c r="I141" s="3">
        <v>441782.15</v>
      </c>
      <c r="J141" t="s">
        <v>574</v>
      </c>
      <c r="K141" t="s">
        <v>575</v>
      </c>
      <c r="L141" s="4">
        <v>42764</v>
      </c>
      <c r="M141" s="4" t="str">
        <f>TEXT(Table2[[#This Row],[Hire_Date]],"ddd")</f>
        <v>Sun</v>
      </c>
      <c r="N141" s="4" t="str">
        <f t="shared" si="9"/>
        <v>Jan</v>
      </c>
      <c r="O141" s="4" t="str">
        <f t="shared" si="10"/>
        <v>2017</v>
      </c>
      <c r="P141">
        <v>3.4</v>
      </c>
      <c r="Q141">
        <v>21</v>
      </c>
      <c r="R141" t="s">
        <v>39</v>
      </c>
      <c r="S141">
        <v>42</v>
      </c>
    </row>
    <row r="142" spans="1:19" x14ac:dyDescent="0.3">
      <c r="A142" t="str">
        <f t="shared" si="8"/>
        <v>EMP141</v>
      </c>
      <c r="B142" t="s">
        <v>850</v>
      </c>
      <c r="C142">
        <v>39</v>
      </c>
      <c r="D142" t="s">
        <v>16</v>
      </c>
      <c r="E142" t="s">
        <v>76</v>
      </c>
      <c r="F142" t="s">
        <v>887</v>
      </c>
      <c r="G142" t="s">
        <v>43</v>
      </c>
      <c r="H142" s="6" t="s">
        <v>62</v>
      </c>
      <c r="I142" s="3">
        <v>785076.17</v>
      </c>
      <c r="J142" t="s">
        <v>578</v>
      </c>
      <c r="K142" t="s">
        <v>579</v>
      </c>
      <c r="L142" s="4">
        <v>43299</v>
      </c>
      <c r="M142" s="4" t="str">
        <f>TEXT(Table2[[#This Row],[Hire_Date]],"ddd")</f>
        <v>Wed</v>
      </c>
      <c r="N142" s="4" t="str">
        <f t="shared" si="9"/>
        <v>Jul</v>
      </c>
      <c r="O142" s="4" t="str">
        <f t="shared" si="10"/>
        <v>2018</v>
      </c>
      <c r="P142">
        <v>7.5</v>
      </c>
      <c r="Q142">
        <v>35</v>
      </c>
      <c r="R142" t="s">
        <v>39</v>
      </c>
      <c r="S142">
        <v>69</v>
      </c>
    </row>
    <row r="143" spans="1:19" x14ac:dyDescent="0.3">
      <c r="A143" t="str">
        <f t="shared" si="8"/>
        <v>EMP142</v>
      </c>
      <c r="B143" t="s">
        <v>838</v>
      </c>
      <c r="C143">
        <v>28</v>
      </c>
      <c r="D143" t="s">
        <v>68</v>
      </c>
      <c r="E143" t="s">
        <v>34</v>
      </c>
      <c r="F143" t="s">
        <v>48</v>
      </c>
      <c r="G143" t="s">
        <v>43</v>
      </c>
      <c r="H143" s="6" t="s">
        <v>887</v>
      </c>
      <c r="I143" s="3">
        <v>339892.66</v>
      </c>
      <c r="J143" t="s">
        <v>508</v>
      </c>
      <c r="K143" t="s">
        <v>582</v>
      </c>
      <c r="M143" s="4" t="str">
        <f>TEXT(Table2[[#This Row],[Hire_Date]],"ddd")</f>
        <v>Sat</v>
      </c>
      <c r="N143" s="4" t="str">
        <f t="shared" si="9"/>
        <v>Jan</v>
      </c>
      <c r="O143" s="4" t="str">
        <f t="shared" si="10"/>
        <v>1900</v>
      </c>
      <c r="P143">
        <v>6.5</v>
      </c>
      <c r="Q143">
        <v>10</v>
      </c>
      <c r="R143" t="s">
        <v>39</v>
      </c>
      <c r="S143">
        <v>61</v>
      </c>
    </row>
    <row r="144" spans="1:19" x14ac:dyDescent="0.3">
      <c r="A144" t="str">
        <f t="shared" si="8"/>
        <v>EMP143</v>
      </c>
      <c r="B144" t="s">
        <v>851</v>
      </c>
      <c r="C144">
        <v>36</v>
      </c>
      <c r="D144" t="s">
        <v>16</v>
      </c>
      <c r="E144" t="s">
        <v>17</v>
      </c>
      <c r="F144" t="s">
        <v>35</v>
      </c>
      <c r="G144" t="s">
        <v>43</v>
      </c>
      <c r="H144" s="6" t="s">
        <v>62</v>
      </c>
      <c r="I144" s="3">
        <v>591512.11</v>
      </c>
      <c r="J144" t="s">
        <v>584</v>
      </c>
      <c r="K144"/>
      <c r="L144" s="4">
        <v>44987</v>
      </c>
      <c r="M144" s="4" t="str">
        <f>TEXT(Table2[[#This Row],[Hire_Date]],"ddd")</f>
        <v>Thu</v>
      </c>
      <c r="N144" s="4" t="str">
        <f t="shared" si="9"/>
        <v>Mar</v>
      </c>
      <c r="O144" s="4" t="str">
        <f t="shared" si="10"/>
        <v>2023</v>
      </c>
      <c r="P144">
        <v>2.5</v>
      </c>
      <c r="Q144">
        <v>30</v>
      </c>
      <c r="R144" t="s">
        <v>39</v>
      </c>
      <c r="S144">
        <v>52</v>
      </c>
    </row>
    <row r="145" spans="1:19" x14ac:dyDescent="0.3">
      <c r="A145" t="str">
        <f t="shared" si="8"/>
        <v>EMP144</v>
      </c>
      <c r="B145" t="s">
        <v>852</v>
      </c>
      <c r="C145">
        <v>27</v>
      </c>
      <c r="D145" t="s">
        <v>33</v>
      </c>
      <c r="E145" t="s">
        <v>80</v>
      </c>
      <c r="F145" t="s">
        <v>93</v>
      </c>
      <c r="G145" t="s">
        <v>43</v>
      </c>
      <c r="H145" s="6" t="s">
        <v>62</v>
      </c>
      <c r="I145" s="3">
        <v>302746.87</v>
      </c>
      <c r="J145" t="s">
        <v>587</v>
      </c>
      <c r="K145" t="s">
        <v>588</v>
      </c>
      <c r="L145" s="4">
        <v>40466</v>
      </c>
      <c r="M145" s="4" t="str">
        <f>TEXT(Table2[[#This Row],[Hire_Date]],"ddd")</f>
        <v>Fri</v>
      </c>
      <c r="N145" s="4" t="str">
        <f t="shared" si="9"/>
        <v>Oct</v>
      </c>
      <c r="O145" s="4" t="str">
        <f t="shared" si="10"/>
        <v>2010</v>
      </c>
      <c r="P145">
        <v>6.3</v>
      </c>
      <c r="Q145">
        <v>27</v>
      </c>
      <c r="R145" t="s">
        <v>39</v>
      </c>
      <c r="S145">
        <v>91</v>
      </c>
    </row>
    <row r="146" spans="1:19" x14ac:dyDescent="0.3">
      <c r="A146" t="str">
        <f t="shared" si="8"/>
        <v>EMP145</v>
      </c>
      <c r="B146" t="s">
        <v>139</v>
      </c>
      <c r="C146">
        <v>50</v>
      </c>
      <c r="D146" t="s">
        <v>16</v>
      </c>
      <c r="E146" t="s">
        <v>887</v>
      </c>
      <c r="F146" t="s">
        <v>35</v>
      </c>
      <c r="G146" t="s">
        <v>94</v>
      </c>
      <c r="H146" s="6" t="s">
        <v>62</v>
      </c>
      <c r="I146" s="3">
        <v>192116.63</v>
      </c>
      <c r="J146" t="s">
        <v>140</v>
      </c>
      <c r="K146" t="s">
        <v>590</v>
      </c>
      <c r="L146" s="4">
        <v>44562</v>
      </c>
      <c r="M146" s="4" t="str">
        <f>TEXT(Table2[[#This Row],[Hire_Date]],"ddd")</f>
        <v>Sat</v>
      </c>
      <c r="N146" s="4" t="str">
        <f t="shared" si="9"/>
        <v>Jan</v>
      </c>
      <c r="O146" s="4" t="str">
        <f t="shared" si="10"/>
        <v>2022</v>
      </c>
      <c r="P146">
        <v>4.7</v>
      </c>
      <c r="Q146">
        <v>10</v>
      </c>
      <c r="R146" t="s">
        <v>39</v>
      </c>
      <c r="S146">
        <v>38</v>
      </c>
    </row>
    <row r="147" spans="1:19" x14ac:dyDescent="0.3">
      <c r="A147" t="str">
        <f t="shared" si="8"/>
        <v>EMP146</v>
      </c>
      <c r="B147" t="s">
        <v>397</v>
      </c>
      <c r="C147">
        <v>55</v>
      </c>
      <c r="D147" t="s">
        <v>16</v>
      </c>
      <c r="E147" t="s">
        <v>55</v>
      </c>
      <c r="F147" t="s">
        <v>70</v>
      </c>
      <c r="G147" t="s">
        <v>19</v>
      </c>
      <c r="H147" s="6" t="s">
        <v>62</v>
      </c>
      <c r="I147" s="3">
        <v>661453.96</v>
      </c>
      <c r="J147" t="s">
        <v>399</v>
      </c>
      <c r="K147" t="s">
        <v>593</v>
      </c>
      <c r="L147" s="4">
        <v>40739</v>
      </c>
      <c r="M147" s="4" t="str">
        <f>TEXT(Table2[[#This Row],[Hire_Date]],"ddd")</f>
        <v>Fri</v>
      </c>
      <c r="N147" s="4" t="str">
        <f t="shared" si="9"/>
        <v>Jul</v>
      </c>
      <c r="O147" s="4" t="str">
        <f t="shared" si="10"/>
        <v>2011</v>
      </c>
      <c r="P147">
        <v>0</v>
      </c>
      <c r="Q147">
        <v>8</v>
      </c>
      <c r="R147" t="s">
        <v>39</v>
      </c>
      <c r="S147">
        <v>0</v>
      </c>
    </row>
    <row r="148" spans="1:19" x14ac:dyDescent="0.3">
      <c r="A148" t="str">
        <f t="shared" si="8"/>
        <v>EMP147</v>
      </c>
      <c r="B148" t="s">
        <v>812</v>
      </c>
      <c r="C148">
        <v>43</v>
      </c>
      <c r="D148" t="s">
        <v>16</v>
      </c>
      <c r="E148" t="s">
        <v>99</v>
      </c>
      <c r="F148" t="s">
        <v>70</v>
      </c>
      <c r="G148" t="s">
        <v>116</v>
      </c>
      <c r="H148" s="6" t="s">
        <v>887</v>
      </c>
      <c r="I148" s="3">
        <v>0</v>
      </c>
      <c r="J148" t="s">
        <v>596</v>
      </c>
      <c r="K148" t="s">
        <v>597</v>
      </c>
      <c r="L148" s="4">
        <v>42362</v>
      </c>
      <c r="M148" s="4" t="str">
        <f>TEXT(Table2[[#This Row],[Hire_Date]],"ddd")</f>
        <v>Thu</v>
      </c>
      <c r="N148" s="4" t="str">
        <f t="shared" si="9"/>
        <v>Dec</v>
      </c>
      <c r="O148" s="4" t="str">
        <f t="shared" si="10"/>
        <v>2015</v>
      </c>
      <c r="P148">
        <v>7.9</v>
      </c>
      <c r="Q148">
        <v>2</v>
      </c>
      <c r="R148" t="s">
        <v>78</v>
      </c>
      <c r="S148">
        <v>52</v>
      </c>
    </row>
    <row r="149" spans="1:19" x14ac:dyDescent="0.3">
      <c r="A149" t="str">
        <f t="shared" si="8"/>
        <v>EMP148</v>
      </c>
      <c r="B149" t="s">
        <v>853</v>
      </c>
      <c r="C149">
        <v>42</v>
      </c>
      <c r="D149" t="s">
        <v>16</v>
      </c>
      <c r="E149" t="s">
        <v>17</v>
      </c>
      <c r="F149" t="s">
        <v>70</v>
      </c>
      <c r="G149" t="s">
        <v>43</v>
      </c>
      <c r="H149" s="6" t="s">
        <v>62</v>
      </c>
      <c r="I149" s="3">
        <v>0</v>
      </c>
      <c r="J149" t="s">
        <v>600</v>
      </c>
      <c r="K149" t="s">
        <v>601</v>
      </c>
      <c r="L149" s="4">
        <v>45640</v>
      </c>
      <c r="M149" s="4" t="str">
        <f>TEXT(Table2[[#This Row],[Hire_Date]],"ddd")</f>
        <v>Sat</v>
      </c>
      <c r="N149" s="4" t="str">
        <f t="shared" si="9"/>
        <v>Dec</v>
      </c>
      <c r="O149" s="4" t="str">
        <f t="shared" si="10"/>
        <v>2024</v>
      </c>
      <c r="P149">
        <v>1.1000000000000001</v>
      </c>
      <c r="Q149">
        <v>30</v>
      </c>
      <c r="R149" t="s">
        <v>78</v>
      </c>
      <c r="S149">
        <v>9</v>
      </c>
    </row>
    <row r="150" spans="1:19" x14ac:dyDescent="0.3">
      <c r="A150" t="str">
        <f t="shared" si="8"/>
        <v>EMP149</v>
      </c>
      <c r="B150" t="s">
        <v>732</v>
      </c>
      <c r="C150">
        <v>43</v>
      </c>
      <c r="D150" t="s">
        <v>68</v>
      </c>
      <c r="E150" t="s">
        <v>121</v>
      </c>
      <c r="F150" t="s">
        <v>93</v>
      </c>
      <c r="G150" t="s">
        <v>19</v>
      </c>
      <c r="H150" s="6" t="s">
        <v>44</v>
      </c>
      <c r="I150" s="3">
        <v>530095.28</v>
      </c>
      <c r="J150" t="s">
        <v>604</v>
      </c>
      <c r="K150" t="s">
        <v>605</v>
      </c>
      <c r="L150" s="4">
        <v>42085</v>
      </c>
      <c r="M150" s="4" t="str">
        <f>TEXT(Table2[[#This Row],[Hire_Date]],"ddd")</f>
        <v>Sun</v>
      </c>
      <c r="N150" s="4" t="str">
        <f t="shared" si="9"/>
        <v>Mar</v>
      </c>
      <c r="O150" s="4" t="str">
        <f t="shared" si="10"/>
        <v>2015</v>
      </c>
      <c r="P150">
        <v>9.1</v>
      </c>
      <c r="Q150">
        <v>18</v>
      </c>
      <c r="R150" t="s">
        <v>39</v>
      </c>
      <c r="S150">
        <v>19</v>
      </c>
    </row>
    <row r="151" spans="1:19" x14ac:dyDescent="0.3">
      <c r="A151" t="str">
        <f t="shared" si="8"/>
        <v>EMP150</v>
      </c>
      <c r="B151" t="s">
        <v>854</v>
      </c>
      <c r="C151">
        <v>60</v>
      </c>
      <c r="D151" t="s">
        <v>68</v>
      </c>
      <c r="E151" t="s">
        <v>55</v>
      </c>
      <c r="F151" t="s">
        <v>48</v>
      </c>
      <c r="G151" t="s">
        <v>43</v>
      </c>
      <c r="H151" s="6" t="s">
        <v>887</v>
      </c>
      <c r="I151" s="3">
        <v>129591.14</v>
      </c>
      <c r="J151" t="s">
        <v>608</v>
      </c>
      <c r="K151" t="s">
        <v>609</v>
      </c>
      <c r="L151" s="4">
        <v>45405</v>
      </c>
      <c r="M151" s="4" t="str">
        <f>TEXT(Table2[[#This Row],[Hire_Date]],"ddd")</f>
        <v>Tue</v>
      </c>
      <c r="N151" s="4" t="str">
        <f t="shared" si="9"/>
        <v>Apr</v>
      </c>
      <c r="O151" s="4" t="str">
        <f t="shared" si="10"/>
        <v>2024</v>
      </c>
      <c r="P151">
        <v>2.7</v>
      </c>
      <c r="Q151">
        <v>9</v>
      </c>
      <c r="R151" t="s">
        <v>39</v>
      </c>
      <c r="S151">
        <v>32</v>
      </c>
    </row>
    <row r="152" spans="1:19" x14ac:dyDescent="0.3">
      <c r="A152" t="str">
        <f t="shared" si="8"/>
        <v>EMP151</v>
      </c>
      <c r="B152" t="s">
        <v>611</v>
      </c>
      <c r="C152" t="s">
        <v>887</v>
      </c>
      <c r="D152" t="s">
        <v>68</v>
      </c>
      <c r="E152" t="s">
        <v>129</v>
      </c>
      <c r="F152" t="s">
        <v>70</v>
      </c>
      <c r="G152" t="s">
        <v>94</v>
      </c>
      <c r="H152" s="6" t="s">
        <v>62</v>
      </c>
      <c r="I152" s="3">
        <v>0</v>
      </c>
      <c r="J152" t="s">
        <v>213</v>
      </c>
      <c r="K152" t="s">
        <v>613</v>
      </c>
      <c r="L152" s="4">
        <v>40581</v>
      </c>
      <c r="M152" s="4" t="str">
        <f>TEXT(Table2[[#This Row],[Hire_Date]],"ddd")</f>
        <v>Mon</v>
      </c>
      <c r="N152" s="4" t="str">
        <f t="shared" si="9"/>
        <v>Feb</v>
      </c>
      <c r="O152" s="4" t="str">
        <f t="shared" si="10"/>
        <v>2011</v>
      </c>
      <c r="P152">
        <v>7.7</v>
      </c>
      <c r="Q152">
        <v>3</v>
      </c>
      <c r="R152" t="s">
        <v>39</v>
      </c>
      <c r="S152">
        <v>73</v>
      </c>
    </row>
    <row r="153" spans="1:19" x14ac:dyDescent="0.3">
      <c r="A153" t="str">
        <f t="shared" si="8"/>
        <v>EMP152</v>
      </c>
      <c r="B153" t="s">
        <v>855</v>
      </c>
      <c r="C153">
        <v>55</v>
      </c>
      <c r="D153" t="s">
        <v>68</v>
      </c>
      <c r="E153" t="s">
        <v>99</v>
      </c>
      <c r="F153" t="s">
        <v>70</v>
      </c>
      <c r="G153" t="s">
        <v>19</v>
      </c>
      <c r="H153" s="6" t="s">
        <v>62</v>
      </c>
      <c r="I153" s="3">
        <v>462795.96</v>
      </c>
      <c r="J153" t="s">
        <v>616</v>
      </c>
      <c r="K153" t="s">
        <v>22</v>
      </c>
      <c r="L153" s="4">
        <v>44751</v>
      </c>
      <c r="M153" s="4" t="str">
        <f>TEXT(Table2[[#This Row],[Hire_Date]],"ddd")</f>
        <v>Sat</v>
      </c>
      <c r="N153" s="4" t="str">
        <f t="shared" si="9"/>
        <v>Jul</v>
      </c>
      <c r="O153" s="4" t="str">
        <f t="shared" si="10"/>
        <v>2022</v>
      </c>
      <c r="P153">
        <v>4.5999999999999996</v>
      </c>
      <c r="Q153">
        <v>28</v>
      </c>
      <c r="R153" t="s">
        <v>39</v>
      </c>
      <c r="S153">
        <v>100</v>
      </c>
    </row>
    <row r="154" spans="1:19" x14ac:dyDescent="0.3">
      <c r="A154" t="str">
        <f t="shared" si="8"/>
        <v>EMP153</v>
      </c>
      <c r="B154" t="s">
        <v>618</v>
      </c>
      <c r="C154">
        <v>49</v>
      </c>
      <c r="D154" t="s">
        <v>887</v>
      </c>
      <c r="E154" t="s">
        <v>121</v>
      </c>
      <c r="F154" t="s">
        <v>61</v>
      </c>
      <c r="G154" t="s">
        <v>27</v>
      </c>
      <c r="H154" s="6" t="s">
        <v>62</v>
      </c>
      <c r="I154" s="3">
        <v>253320.24</v>
      </c>
      <c r="J154" t="s">
        <v>619</v>
      </c>
      <c r="K154" t="s">
        <v>620</v>
      </c>
      <c r="L154" s="4">
        <v>43844</v>
      </c>
      <c r="M154" s="4" t="str">
        <f>TEXT(Table2[[#This Row],[Hire_Date]],"ddd")</f>
        <v>Tue</v>
      </c>
      <c r="N154" s="4" t="str">
        <f t="shared" si="9"/>
        <v>Jan</v>
      </c>
      <c r="O154" s="4" t="str">
        <f t="shared" si="10"/>
        <v>2020</v>
      </c>
      <c r="P154">
        <v>3.7</v>
      </c>
      <c r="Q154">
        <v>1</v>
      </c>
      <c r="R154" t="s">
        <v>39</v>
      </c>
      <c r="S154">
        <v>92</v>
      </c>
    </row>
    <row r="155" spans="1:19" x14ac:dyDescent="0.3">
      <c r="A155" t="str">
        <f t="shared" si="8"/>
        <v>EMP154</v>
      </c>
      <c r="B155" t="s">
        <v>856</v>
      </c>
      <c r="C155">
        <v>31</v>
      </c>
      <c r="D155" t="s">
        <v>68</v>
      </c>
      <c r="E155" t="s">
        <v>17</v>
      </c>
      <c r="F155" t="s">
        <v>88</v>
      </c>
      <c r="G155" t="s">
        <v>36</v>
      </c>
      <c r="H155" s="6" t="s">
        <v>28</v>
      </c>
      <c r="I155" s="3">
        <v>192397.12</v>
      </c>
      <c r="J155" t="s">
        <v>623</v>
      </c>
      <c r="K155" t="s">
        <v>624</v>
      </c>
      <c r="L155" s="4">
        <v>44852</v>
      </c>
      <c r="M155" s="4" t="str">
        <f>TEXT(Table2[[#This Row],[Hire_Date]],"ddd")</f>
        <v>Tue</v>
      </c>
      <c r="N155" s="4" t="str">
        <f t="shared" si="9"/>
        <v>Oct</v>
      </c>
      <c r="O155" s="4" t="str">
        <f t="shared" si="10"/>
        <v>2022</v>
      </c>
      <c r="P155">
        <v>6.4</v>
      </c>
      <c r="Q155">
        <v>24</v>
      </c>
      <c r="R155" t="s">
        <v>887</v>
      </c>
      <c r="S155">
        <v>33</v>
      </c>
    </row>
    <row r="156" spans="1:19" x14ac:dyDescent="0.3">
      <c r="A156" t="str">
        <f t="shared" si="8"/>
        <v>EMP155</v>
      </c>
      <c r="B156" t="s">
        <v>626</v>
      </c>
      <c r="C156">
        <v>36</v>
      </c>
      <c r="D156" t="s">
        <v>16</v>
      </c>
      <c r="E156" t="s">
        <v>76</v>
      </c>
      <c r="F156" t="s">
        <v>88</v>
      </c>
      <c r="G156" t="s">
        <v>43</v>
      </c>
      <c r="H156" s="6" t="s">
        <v>62</v>
      </c>
      <c r="I156" s="3">
        <v>748630.28</v>
      </c>
      <c r="J156" t="s">
        <v>627</v>
      </c>
      <c r="K156" t="s">
        <v>22</v>
      </c>
      <c r="M156" s="4" t="str">
        <f>TEXT(Table2[[#This Row],[Hire_Date]],"ddd")</f>
        <v>Sat</v>
      </c>
      <c r="N156" s="4" t="str">
        <f t="shared" si="9"/>
        <v>Jan</v>
      </c>
      <c r="O156" s="4" t="str">
        <f t="shared" si="10"/>
        <v>1900</v>
      </c>
      <c r="P156">
        <v>4.9000000000000004</v>
      </c>
      <c r="Q156">
        <v>21</v>
      </c>
      <c r="R156" t="s">
        <v>78</v>
      </c>
      <c r="S156">
        <v>55</v>
      </c>
    </row>
    <row r="157" spans="1:19" x14ac:dyDescent="0.3">
      <c r="A157" t="str">
        <f t="shared" si="8"/>
        <v>EMP156</v>
      </c>
      <c r="B157" t="s">
        <v>397</v>
      </c>
      <c r="C157">
        <v>30</v>
      </c>
      <c r="D157" t="s">
        <v>68</v>
      </c>
      <c r="E157" t="s">
        <v>99</v>
      </c>
      <c r="F157" t="s">
        <v>93</v>
      </c>
      <c r="G157" t="s">
        <v>94</v>
      </c>
      <c r="H157" s="6" t="s">
        <v>135</v>
      </c>
      <c r="I157" s="3">
        <v>222638.14</v>
      </c>
      <c r="J157" t="s">
        <v>399</v>
      </c>
      <c r="K157" t="s">
        <v>629</v>
      </c>
      <c r="L157" s="4">
        <v>42164</v>
      </c>
      <c r="M157" s="4" t="str">
        <f>TEXT(Table2[[#This Row],[Hire_Date]],"ddd")</f>
        <v>Tue</v>
      </c>
      <c r="N157" s="4" t="str">
        <f t="shared" si="9"/>
        <v>Jun</v>
      </c>
      <c r="O157" s="4" t="str">
        <f t="shared" si="10"/>
        <v>2015</v>
      </c>
      <c r="P157">
        <v>0</v>
      </c>
      <c r="Q157">
        <v>22</v>
      </c>
      <c r="R157" t="s">
        <v>39</v>
      </c>
      <c r="S157">
        <v>15</v>
      </c>
    </row>
    <row r="158" spans="1:19" x14ac:dyDescent="0.3">
      <c r="A158" t="str">
        <f t="shared" si="8"/>
        <v>EMP157</v>
      </c>
      <c r="B158" t="s">
        <v>857</v>
      </c>
      <c r="C158">
        <v>31</v>
      </c>
      <c r="D158" t="s">
        <v>68</v>
      </c>
      <c r="E158" t="s">
        <v>69</v>
      </c>
      <c r="F158" t="s">
        <v>70</v>
      </c>
      <c r="G158" t="s">
        <v>43</v>
      </c>
      <c r="H158" s="6" t="s">
        <v>62</v>
      </c>
      <c r="I158" s="3">
        <v>160907.65</v>
      </c>
      <c r="J158" t="s">
        <v>632</v>
      </c>
      <c r="K158" t="s">
        <v>633</v>
      </c>
      <c r="L158" s="4">
        <v>42991</v>
      </c>
      <c r="M158" s="4" t="str">
        <f>TEXT(Table2[[#This Row],[Hire_Date]],"ddd")</f>
        <v>Wed</v>
      </c>
      <c r="N158" s="4" t="str">
        <f t="shared" si="9"/>
        <v>Sep</v>
      </c>
      <c r="O158" s="4" t="str">
        <f t="shared" si="10"/>
        <v>2017</v>
      </c>
      <c r="P158">
        <v>7.8</v>
      </c>
      <c r="Q158">
        <v>9</v>
      </c>
      <c r="R158" t="s">
        <v>78</v>
      </c>
      <c r="S158">
        <v>0</v>
      </c>
    </row>
    <row r="159" spans="1:19" x14ac:dyDescent="0.3">
      <c r="A159" t="str">
        <f t="shared" si="8"/>
        <v>EMP158</v>
      </c>
      <c r="B159" t="s">
        <v>858</v>
      </c>
      <c r="C159">
        <v>25</v>
      </c>
      <c r="D159" t="s">
        <v>16</v>
      </c>
      <c r="E159" t="s">
        <v>69</v>
      </c>
      <c r="F159" t="s">
        <v>70</v>
      </c>
      <c r="G159" t="s">
        <v>43</v>
      </c>
      <c r="H159" s="6" t="s">
        <v>135</v>
      </c>
      <c r="I159" s="3">
        <v>0</v>
      </c>
      <c r="J159" t="s">
        <v>636</v>
      </c>
      <c r="K159"/>
      <c r="L159" s="4">
        <v>45586</v>
      </c>
      <c r="M159" s="4" t="str">
        <f>TEXT(Table2[[#This Row],[Hire_Date]],"ddd")</f>
        <v>Mon</v>
      </c>
      <c r="N159" s="4" t="str">
        <f t="shared" si="9"/>
        <v>Oct</v>
      </c>
      <c r="O159" s="4" t="str">
        <f t="shared" si="10"/>
        <v>2024</v>
      </c>
      <c r="P159">
        <v>5.4</v>
      </c>
      <c r="Q159">
        <v>12</v>
      </c>
      <c r="R159" t="s">
        <v>887</v>
      </c>
      <c r="S159">
        <v>71</v>
      </c>
    </row>
    <row r="160" spans="1:19" x14ac:dyDescent="0.3">
      <c r="A160" t="str">
        <f t="shared" si="8"/>
        <v>EMP159</v>
      </c>
      <c r="B160" t="s">
        <v>857</v>
      </c>
      <c r="C160">
        <v>43</v>
      </c>
      <c r="D160" t="s">
        <v>16</v>
      </c>
      <c r="E160" t="s">
        <v>34</v>
      </c>
      <c r="F160" t="s">
        <v>18</v>
      </c>
      <c r="G160" t="s">
        <v>94</v>
      </c>
      <c r="H160" s="6" t="s">
        <v>887</v>
      </c>
      <c r="I160" s="3">
        <v>93228</v>
      </c>
      <c r="J160" t="s">
        <v>632</v>
      </c>
      <c r="K160" t="s">
        <v>638</v>
      </c>
      <c r="L160" s="4">
        <v>40686</v>
      </c>
      <c r="M160" s="4" t="str">
        <f>TEXT(Table2[[#This Row],[Hire_Date]],"ddd")</f>
        <v>Mon</v>
      </c>
      <c r="N160" s="4" t="str">
        <f t="shared" si="9"/>
        <v>May</v>
      </c>
      <c r="O160" s="4" t="str">
        <f t="shared" si="10"/>
        <v>2011</v>
      </c>
      <c r="P160">
        <v>6.9</v>
      </c>
      <c r="Q160">
        <v>14</v>
      </c>
      <c r="R160" t="s">
        <v>78</v>
      </c>
      <c r="S160">
        <v>97</v>
      </c>
    </row>
    <row r="161" spans="1:19" x14ac:dyDescent="0.3">
      <c r="A161" t="str">
        <f t="shared" si="8"/>
        <v>EMP160</v>
      </c>
      <c r="B161" t="s">
        <v>859</v>
      </c>
      <c r="C161">
        <v>30</v>
      </c>
      <c r="D161" t="s">
        <v>16</v>
      </c>
      <c r="E161" t="s">
        <v>115</v>
      </c>
      <c r="F161" t="s">
        <v>48</v>
      </c>
      <c r="G161" t="s">
        <v>43</v>
      </c>
      <c r="H161" s="6" t="s">
        <v>62</v>
      </c>
      <c r="I161" s="3">
        <v>469774.76</v>
      </c>
      <c r="J161" t="s">
        <v>641</v>
      </c>
      <c r="K161" t="s">
        <v>642</v>
      </c>
      <c r="L161" s="4">
        <v>43702</v>
      </c>
      <c r="M161" s="4" t="str">
        <f>TEXT(Table2[[#This Row],[Hire_Date]],"ddd")</f>
        <v>Sun</v>
      </c>
      <c r="N161" s="4" t="str">
        <f t="shared" si="9"/>
        <v>Aug</v>
      </c>
      <c r="O161" s="4" t="str">
        <f t="shared" si="10"/>
        <v>2019</v>
      </c>
      <c r="P161">
        <v>3.9</v>
      </c>
      <c r="Q161">
        <v>20</v>
      </c>
      <c r="R161" t="s">
        <v>78</v>
      </c>
      <c r="S161">
        <v>30</v>
      </c>
    </row>
    <row r="162" spans="1:19" x14ac:dyDescent="0.3">
      <c r="A162" t="str">
        <f t="shared" ref="A162:A193" si="11">"EMP"&amp;TEXT(ROW()-1,"000")</f>
        <v>EMP161</v>
      </c>
      <c r="B162" t="s">
        <v>183</v>
      </c>
      <c r="C162" t="s">
        <v>887</v>
      </c>
      <c r="D162" t="s">
        <v>68</v>
      </c>
      <c r="E162" t="s">
        <v>115</v>
      </c>
      <c r="F162" t="s">
        <v>35</v>
      </c>
      <c r="G162" t="s">
        <v>94</v>
      </c>
      <c r="H162" s="6" t="s">
        <v>62</v>
      </c>
      <c r="I162" s="3">
        <v>789888.03</v>
      </c>
      <c r="J162" t="s">
        <v>184</v>
      </c>
      <c r="K162"/>
      <c r="L162" s="4">
        <v>40392</v>
      </c>
      <c r="M162" s="4" t="str">
        <f>TEXT(Table2[[#This Row],[Hire_Date]],"ddd")</f>
        <v>Mon</v>
      </c>
      <c r="N162" s="4" t="str">
        <f t="shared" si="9"/>
        <v>Aug</v>
      </c>
      <c r="O162" s="4" t="str">
        <f t="shared" si="10"/>
        <v>2010</v>
      </c>
      <c r="P162">
        <v>2.5</v>
      </c>
      <c r="Q162">
        <v>0</v>
      </c>
      <c r="R162" t="s">
        <v>78</v>
      </c>
      <c r="S162">
        <v>67</v>
      </c>
    </row>
    <row r="163" spans="1:19" x14ac:dyDescent="0.3">
      <c r="A163" t="str">
        <f t="shared" si="11"/>
        <v>EMP162</v>
      </c>
      <c r="B163" t="s">
        <v>860</v>
      </c>
      <c r="C163">
        <v>53</v>
      </c>
      <c r="D163" t="s">
        <v>16</v>
      </c>
      <c r="E163" t="s">
        <v>69</v>
      </c>
      <c r="F163" t="s">
        <v>61</v>
      </c>
      <c r="G163" t="s">
        <v>94</v>
      </c>
      <c r="H163" s="6" t="s">
        <v>62</v>
      </c>
      <c r="I163" s="3">
        <v>719062.58</v>
      </c>
      <c r="J163" t="s">
        <v>647</v>
      </c>
      <c r="K163" t="s">
        <v>648</v>
      </c>
      <c r="L163" s="4">
        <v>45188</v>
      </c>
      <c r="M163" s="4" t="str">
        <f>TEXT(Table2[[#This Row],[Hire_Date]],"ddd")</f>
        <v>Tue</v>
      </c>
      <c r="N163" s="4" t="str">
        <f t="shared" si="9"/>
        <v>Sep</v>
      </c>
      <c r="O163" s="4" t="str">
        <f t="shared" si="10"/>
        <v>2023</v>
      </c>
      <c r="P163">
        <v>4.5</v>
      </c>
      <c r="Q163">
        <v>12</v>
      </c>
      <c r="R163" t="s">
        <v>78</v>
      </c>
      <c r="S163">
        <v>77</v>
      </c>
    </row>
    <row r="164" spans="1:19" x14ac:dyDescent="0.3">
      <c r="A164" t="str">
        <f t="shared" si="11"/>
        <v>EMP163</v>
      </c>
      <c r="B164" t="s">
        <v>521</v>
      </c>
      <c r="C164">
        <v>25</v>
      </c>
      <c r="D164" t="s">
        <v>68</v>
      </c>
      <c r="E164" t="s">
        <v>76</v>
      </c>
      <c r="F164" t="s">
        <v>35</v>
      </c>
      <c r="G164" t="s">
        <v>19</v>
      </c>
      <c r="H164" s="6" t="s">
        <v>28</v>
      </c>
      <c r="I164" s="3">
        <v>413776.85</v>
      </c>
      <c r="J164" t="s">
        <v>523</v>
      </c>
      <c r="K164" t="s">
        <v>651</v>
      </c>
      <c r="L164" s="4">
        <v>43399</v>
      </c>
      <c r="M164" s="4" t="str">
        <f>TEXT(Table2[[#This Row],[Hire_Date]],"ddd")</f>
        <v>Fri</v>
      </c>
      <c r="N164" s="4" t="str">
        <f t="shared" si="9"/>
        <v>Oct</v>
      </c>
      <c r="O164" s="4" t="str">
        <f t="shared" si="10"/>
        <v>2018</v>
      </c>
      <c r="P164">
        <v>1.8</v>
      </c>
      <c r="Q164">
        <v>5</v>
      </c>
      <c r="R164" t="s">
        <v>887</v>
      </c>
      <c r="S164">
        <v>98</v>
      </c>
    </row>
    <row r="165" spans="1:19" x14ac:dyDescent="0.3">
      <c r="A165" t="str">
        <f t="shared" si="11"/>
        <v>EMP164</v>
      </c>
      <c r="B165" t="s">
        <v>861</v>
      </c>
      <c r="C165">
        <v>24</v>
      </c>
      <c r="D165" t="s">
        <v>16</v>
      </c>
      <c r="E165" t="s">
        <v>69</v>
      </c>
      <c r="F165" t="s">
        <v>35</v>
      </c>
      <c r="G165" t="s">
        <v>94</v>
      </c>
      <c r="H165" s="6" t="s">
        <v>62</v>
      </c>
      <c r="I165" s="3">
        <v>487153.94</v>
      </c>
      <c r="J165" t="s">
        <v>655</v>
      </c>
      <c r="K165" t="s">
        <v>656</v>
      </c>
      <c r="L165" s="4">
        <v>42702</v>
      </c>
      <c r="M165" s="4" t="str">
        <f>TEXT(Table2[[#This Row],[Hire_Date]],"ddd")</f>
        <v>Mon</v>
      </c>
      <c r="N165" s="4" t="str">
        <f t="shared" si="9"/>
        <v>Nov</v>
      </c>
      <c r="O165" s="4" t="str">
        <f t="shared" si="10"/>
        <v>2016</v>
      </c>
      <c r="P165">
        <v>5.5</v>
      </c>
      <c r="Q165">
        <v>31</v>
      </c>
      <c r="R165" t="s">
        <v>78</v>
      </c>
      <c r="S165">
        <v>45</v>
      </c>
    </row>
    <row r="166" spans="1:19" x14ac:dyDescent="0.3">
      <c r="A166" t="str">
        <f t="shared" si="11"/>
        <v>EMP165</v>
      </c>
      <c r="B166" t="s">
        <v>658</v>
      </c>
      <c r="C166">
        <v>37</v>
      </c>
      <c r="D166" t="s">
        <v>68</v>
      </c>
      <c r="E166" t="s">
        <v>99</v>
      </c>
      <c r="F166" t="s">
        <v>42</v>
      </c>
      <c r="G166" t="s">
        <v>27</v>
      </c>
      <c r="H166" s="6" t="s">
        <v>28</v>
      </c>
      <c r="I166" s="3">
        <v>532617.51</v>
      </c>
      <c r="J166" t="s">
        <v>659</v>
      </c>
      <c r="K166" t="s">
        <v>660</v>
      </c>
      <c r="L166" s="4">
        <v>40444</v>
      </c>
      <c r="M166" s="4" t="str">
        <f>TEXT(Table2[[#This Row],[Hire_Date]],"ddd")</f>
        <v>Thu</v>
      </c>
      <c r="N166" s="4" t="str">
        <f t="shared" si="9"/>
        <v>Sep</v>
      </c>
      <c r="O166" s="4" t="str">
        <f t="shared" si="10"/>
        <v>2010</v>
      </c>
      <c r="P166">
        <v>6.9</v>
      </c>
      <c r="Q166">
        <v>35</v>
      </c>
      <c r="R166" t="s">
        <v>78</v>
      </c>
      <c r="S166">
        <v>36</v>
      </c>
    </row>
    <row r="167" spans="1:19" x14ac:dyDescent="0.3">
      <c r="A167" t="str">
        <f t="shared" si="11"/>
        <v>EMP166</v>
      </c>
      <c r="B167" t="s">
        <v>862</v>
      </c>
      <c r="C167">
        <v>45</v>
      </c>
      <c r="D167" t="s">
        <v>68</v>
      </c>
      <c r="E167" t="s">
        <v>55</v>
      </c>
      <c r="F167" t="s">
        <v>88</v>
      </c>
      <c r="G167" t="s">
        <v>43</v>
      </c>
      <c r="H167" s="6" t="s">
        <v>62</v>
      </c>
      <c r="I167" s="3">
        <v>0</v>
      </c>
      <c r="J167" t="s">
        <v>663</v>
      </c>
      <c r="K167" t="s">
        <v>664</v>
      </c>
      <c r="L167" s="4">
        <v>44496</v>
      </c>
      <c r="M167" s="4" t="str">
        <f>TEXT(Table2[[#This Row],[Hire_Date]],"ddd")</f>
        <v>Wed</v>
      </c>
      <c r="N167" s="4" t="str">
        <f t="shared" si="9"/>
        <v>Oct</v>
      </c>
      <c r="O167" s="4" t="str">
        <f t="shared" si="10"/>
        <v>2021</v>
      </c>
      <c r="P167">
        <v>7.5</v>
      </c>
      <c r="Q167">
        <v>18</v>
      </c>
      <c r="R167" t="s">
        <v>887</v>
      </c>
      <c r="S167">
        <v>53</v>
      </c>
    </row>
    <row r="168" spans="1:19" x14ac:dyDescent="0.3">
      <c r="A168" t="str">
        <f t="shared" si="11"/>
        <v>EMP167</v>
      </c>
      <c r="B168" t="s">
        <v>863</v>
      </c>
      <c r="C168">
        <v>58</v>
      </c>
      <c r="D168" t="s">
        <v>887</v>
      </c>
      <c r="E168" t="s">
        <v>99</v>
      </c>
      <c r="F168" t="s">
        <v>70</v>
      </c>
      <c r="G168" t="s">
        <v>43</v>
      </c>
      <c r="H168" s="6" t="s">
        <v>62</v>
      </c>
      <c r="I168" s="3">
        <v>438373.6</v>
      </c>
      <c r="J168" t="s">
        <v>667</v>
      </c>
      <c r="K168" t="s">
        <v>668</v>
      </c>
      <c r="L168" s="4">
        <v>41147</v>
      </c>
      <c r="M168" s="4" t="str">
        <f>TEXT(Table2[[#This Row],[Hire_Date]],"ddd")</f>
        <v>Sun</v>
      </c>
      <c r="N168" s="4" t="str">
        <f t="shared" si="9"/>
        <v>Aug</v>
      </c>
      <c r="O168" s="4" t="str">
        <f t="shared" si="10"/>
        <v>2012</v>
      </c>
      <c r="P168">
        <v>1.1000000000000001</v>
      </c>
      <c r="Q168">
        <v>4</v>
      </c>
      <c r="R168" t="s">
        <v>887</v>
      </c>
      <c r="S168">
        <v>77</v>
      </c>
    </row>
    <row r="169" spans="1:19" x14ac:dyDescent="0.3">
      <c r="A169" t="str">
        <f t="shared" si="11"/>
        <v>EMP168</v>
      </c>
      <c r="B169" t="s">
        <v>195</v>
      </c>
      <c r="C169" t="s">
        <v>887</v>
      </c>
      <c r="D169" t="s">
        <v>68</v>
      </c>
      <c r="E169" t="s">
        <v>76</v>
      </c>
      <c r="F169" t="s">
        <v>35</v>
      </c>
      <c r="G169" t="s">
        <v>94</v>
      </c>
      <c r="H169" s="6" t="s">
        <v>62</v>
      </c>
      <c r="I169" s="3">
        <v>206452.94</v>
      </c>
      <c r="J169" t="s">
        <v>196</v>
      </c>
      <c r="K169"/>
      <c r="L169" s="4">
        <v>41291</v>
      </c>
      <c r="M169" s="4" t="str">
        <f>TEXT(Table2[[#This Row],[Hire_Date]],"ddd")</f>
        <v>Thu</v>
      </c>
      <c r="N169" s="4" t="str">
        <f t="shared" si="9"/>
        <v>Jan</v>
      </c>
      <c r="O169" s="4" t="str">
        <f t="shared" si="10"/>
        <v>2013</v>
      </c>
      <c r="P169">
        <v>3.7</v>
      </c>
      <c r="Q169" t="s">
        <v>887</v>
      </c>
      <c r="R169" t="s">
        <v>39</v>
      </c>
      <c r="S169">
        <v>80</v>
      </c>
    </row>
    <row r="170" spans="1:19" x14ac:dyDescent="0.3">
      <c r="A170" t="str">
        <f t="shared" si="11"/>
        <v>EMP169</v>
      </c>
      <c r="B170" t="s">
        <v>864</v>
      </c>
      <c r="C170">
        <v>39</v>
      </c>
      <c r="D170" t="s">
        <v>68</v>
      </c>
      <c r="E170" t="s">
        <v>76</v>
      </c>
      <c r="F170" t="s">
        <v>93</v>
      </c>
      <c r="G170" t="s">
        <v>27</v>
      </c>
      <c r="H170" s="6" t="s">
        <v>62</v>
      </c>
      <c r="I170" s="3">
        <v>350173.36</v>
      </c>
      <c r="J170" t="s">
        <v>672</v>
      </c>
      <c r="K170" t="s">
        <v>673</v>
      </c>
      <c r="L170" s="4">
        <v>42704</v>
      </c>
      <c r="M170" s="4" t="str">
        <f>TEXT(Table2[[#This Row],[Hire_Date]],"ddd")</f>
        <v>Wed</v>
      </c>
      <c r="N170" s="4" t="str">
        <f t="shared" si="9"/>
        <v>Nov</v>
      </c>
      <c r="O170" s="4" t="str">
        <f t="shared" si="10"/>
        <v>2016</v>
      </c>
      <c r="P170">
        <v>5.7</v>
      </c>
      <c r="Q170">
        <v>2</v>
      </c>
      <c r="R170" t="s">
        <v>78</v>
      </c>
      <c r="S170">
        <v>3</v>
      </c>
    </row>
    <row r="171" spans="1:19" x14ac:dyDescent="0.3">
      <c r="A171" t="str">
        <f t="shared" si="11"/>
        <v>EMP170</v>
      </c>
      <c r="B171" t="s">
        <v>805</v>
      </c>
      <c r="C171">
        <v>52</v>
      </c>
      <c r="D171" t="s">
        <v>887</v>
      </c>
      <c r="E171" t="s">
        <v>129</v>
      </c>
      <c r="F171" t="s">
        <v>70</v>
      </c>
      <c r="G171" t="s">
        <v>43</v>
      </c>
      <c r="H171" s="6" t="s">
        <v>62</v>
      </c>
      <c r="I171" s="3">
        <v>638383.91</v>
      </c>
      <c r="J171" t="s">
        <v>272</v>
      </c>
      <c r="K171" t="s">
        <v>675</v>
      </c>
      <c r="L171" s="4">
        <v>40478</v>
      </c>
      <c r="M171" s="4" t="str">
        <f>TEXT(Table2[[#This Row],[Hire_Date]],"ddd")</f>
        <v>Wed</v>
      </c>
      <c r="N171" s="4" t="str">
        <f t="shared" si="9"/>
        <v>Oct</v>
      </c>
      <c r="O171" s="4" t="str">
        <f t="shared" si="10"/>
        <v>2010</v>
      </c>
      <c r="P171">
        <v>0</v>
      </c>
      <c r="Q171">
        <v>19</v>
      </c>
      <c r="R171" t="s">
        <v>78</v>
      </c>
      <c r="S171">
        <v>19</v>
      </c>
    </row>
    <row r="172" spans="1:19" x14ac:dyDescent="0.3">
      <c r="A172" t="str">
        <f t="shared" si="11"/>
        <v>EMP171</v>
      </c>
      <c r="B172" t="s">
        <v>865</v>
      </c>
      <c r="C172">
        <v>29</v>
      </c>
      <c r="D172" t="s">
        <v>16</v>
      </c>
      <c r="E172" t="s">
        <v>55</v>
      </c>
      <c r="F172" t="s">
        <v>42</v>
      </c>
      <c r="G172" t="s">
        <v>94</v>
      </c>
      <c r="H172" s="6" t="s">
        <v>62</v>
      </c>
      <c r="I172" s="3">
        <v>162411.48000000001</v>
      </c>
      <c r="J172" t="s">
        <v>678</v>
      </c>
      <c r="K172" t="s">
        <v>679</v>
      </c>
      <c r="L172" s="4">
        <v>42399</v>
      </c>
      <c r="M172" s="4" t="str">
        <f>TEXT(Table2[[#This Row],[Hire_Date]],"ddd")</f>
        <v>Sat</v>
      </c>
      <c r="N172" s="4" t="str">
        <f t="shared" si="9"/>
        <v>Jan</v>
      </c>
      <c r="O172" s="4" t="str">
        <f t="shared" si="10"/>
        <v>2016</v>
      </c>
      <c r="P172">
        <v>1.3</v>
      </c>
      <c r="Q172">
        <v>24</v>
      </c>
      <c r="R172" t="s">
        <v>39</v>
      </c>
      <c r="S172">
        <v>71</v>
      </c>
    </row>
    <row r="173" spans="1:19" x14ac:dyDescent="0.3">
      <c r="A173" t="str">
        <f t="shared" si="11"/>
        <v>EMP172</v>
      </c>
      <c r="B173" t="s">
        <v>569</v>
      </c>
      <c r="C173">
        <v>50</v>
      </c>
      <c r="D173" t="s">
        <v>68</v>
      </c>
      <c r="E173" t="s">
        <v>76</v>
      </c>
      <c r="F173" t="s">
        <v>35</v>
      </c>
      <c r="G173" t="s">
        <v>36</v>
      </c>
      <c r="H173" s="6" t="s">
        <v>44</v>
      </c>
      <c r="I173" s="3">
        <v>668558.22</v>
      </c>
      <c r="J173" t="s">
        <v>570</v>
      </c>
      <c r="K173" t="s">
        <v>22</v>
      </c>
      <c r="L173" s="4">
        <v>41258</v>
      </c>
      <c r="M173" s="4" t="str">
        <f>TEXT(Table2[[#This Row],[Hire_Date]],"ddd")</f>
        <v>Sat</v>
      </c>
      <c r="N173" s="4" t="str">
        <f t="shared" si="9"/>
        <v>Dec</v>
      </c>
      <c r="O173" s="4" t="str">
        <f t="shared" si="10"/>
        <v>2012</v>
      </c>
      <c r="P173">
        <v>9.1999999999999993</v>
      </c>
      <c r="Q173">
        <v>21</v>
      </c>
      <c r="R173" t="s">
        <v>39</v>
      </c>
      <c r="S173">
        <v>3</v>
      </c>
    </row>
    <row r="174" spans="1:19" x14ac:dyDescent="0.3">
      <c r="A174" t="str">
        <f t="shared" si="11"/>
        <v>EMP173</v>
      </c>
      <c r="B174" t="s">
        <v>866</v>
      </c>
      <c r="C174">
        <v>32</v>
      </c>
      <c r="D174" t="s">
        <v>68</v>
      </c>
      <c r="E174" t="s">
        <v>34</v>
      </c>
      <c r="F174" t="s">
        <v>18</v>
      </c>
      <c r="G174" t="s">
        <v>43</v>
      </c>
      <c r="H174" s="6" t="s">
        <v>135</v>
      </c>
      <c r="I174" s="3">
        <v>493768.35</v>
      </c>
      <c r="J174" t="s">
        <v>887</v>
      </c>
      <c r="K174" t="s">
        <v>683</v>
      </c>
      <c r="L174" s="4">
        <v>42653</v>
      </c>
      <c r="M174" s="4" t="str">
        <f>TEXT(Table2[[#This Row],[Hire_Date]],"ddd")</f>
        <v>Mon</v>
      </c>
      <c r="N174" s="4" t="str">
        <f t="shared" si="9"/>
        <v>Oct</v>
      </c>
      <c r="O174" s="4" t="str">
        <f t="shared" si="10"/>
        <v>2016</v>
      </c>
      <c r="P174">
        <v>2.9</v>
      </c>
      <c r="Q174">
        <v>27</v>
      </c>
      <c r="R174" t="s">
        <v>887</v>
      </c>
      <c r="S174">
        <v>24</v>
      </c>
    </row>
    <row r="175" spans="1:19" x14ac:dyDescent="0.3">
      <c r="A175" t="str">
        <f t="shared" si="11"/>
        <v>EMP174</v>
      </c>
      <c r="B175" t="s">
        <v>203</v>
      </c>
      <c r="C175">
        <v>58</v>
      </c>
      <c r="D175" t="s">
        <v>16</v>
      </c>
      <c r="E175" t="s">
        <v>129</v>
      </c>
      <c r="F175" t="s">
        <v>18</v>
      </c>
      <c r="G175" t="s">
        <v>36</v>
      </c>
      <c r="H175" s="6" t="s">
        <v>62</v>
      </c>
      <c r="I175" s="3">
        <v>0</v>
      </c>
      <c r="J175" t="s">
        <v>204</v>
      </c>
      <c r="K175" t="s">
        <v>22</v>
      </c>
      <c r="L175" s="4">
        <v>41069</v>
      </c>
      <c r="M175" s="4" t="str">
        <f>TEXT(Table2[[#This Row],[Hire_Date]],"ddd")</f>
        <v>Sat</v>
      </c>
      <c r="N175" s="4" t="str">
        <f t="shared" si="9"/>
        <v>Jun</v>
      </c>
      <c r="O175" s="4" t="str">
        <f t="shared" si="10"/>
        <v>2012</v>
      </c>
      <c r="P175">
        <v>7.8</v>
      </c>
      <c r="Q175">
        <v>18</v>
      </c>
      <c r="R175" t="s">
        <v>39</v>
      </c>
      <c r="S175">
        <v>21</v>
      </c>
    </row>
    <row r="176" spans="1:19" x14ac:dyDescent="0.3">
      <c r="A176" t="str">
        <f t="shared" si="11"/>
        <v>EMP175</v>
      </c>
      <c r="B176" t="s">
        <v>686</v>
      </c>
      <c r="C176">
        <v>41</v>
      </c>
      <c r="D176" t="s">
        <v>16</v>
      </c>
      <c r="E176" t="s">
        <v>121</v>
      </c>
      <c r="F176" t="s">
        <v>61</v>
      </c>
      <c r="G176" t="s">
        <v>94</v>
      </c>
      <c r="H176" s="6" t="s">
        <v>28</v>
      </c>
      <c r="I176" s="3">
        <v>596809.68000000005</v>
      </c>
      <c r="J176" t="s">
        <v>687</v>
      </c>
      <c r="K176" t="s">
        <v>688</v>
      </c>
      <c r="L176" s="4">
        <v>41223</v>
      </c>
      <c r="M176" s="4" t="str">
        <f>TEXT(Table2[[#This Row],[Hire_Date]],"ddd")</f>
        <v>Sat</v>
      </c>
      <c r="N176" s="4" t="str">
        <f t="shared" si="9"/>
        <v>Nov</v>
      </c>
      <c r="O176" s="4" t="str">
        <f t="shared" si="10"/>
        <v>2012</v>
      </c>
      <c r="P176">
        <v>8.8000000000000007</v>
      </c>
      <c r="Q176">
        <v>25</v>
      </c>
      <c r="R176" t="s">
        <v>78</v>
      </c>
      <c r="S176">
        <v>38</v>
      </c>
    </row>
    <row r="177" spans="1:19" x14ac:dyDescent="0.3">
      <c r="A177" t="str">
        <f t="shared" si="11"/>
        <v>EMP176</v>
      </c>
      <c r="B177" t="s">
        <v>867</v>
      </c>
      <c r="C177">
        <v>30</v>
      </c>
      <c r="D177" t="s">
        <v>16</v>
      </c>
      <c r="E177" t="s">
        <v>17</v>
      </c>
      <c r="F177" t="s">
        <v>48</v>
      </c>
      <c r="G177" t="s">
        <v>43</v>
      </c>
      <c r="H177" s="6" t="s">
        <v>62</v>
      </c>
      <c r="I177" s="3">
        <v>745627.07</v>
      </c>
      <c r="J177" t="s">
        <v>691</v>
      </c>
      <c r="K177" t="s">
        <v>692</v>
      </c>
      <c r="L177" s="4">
        <v>40766</v>
      </c>
      <c r="M177" s="4" t="str">
        <f>TEXT(Table2[[#This Row],[Hire_Date]],"ddd")</f>
        <v>Thu</v>
      </c>
      <c r="N177" s="4" t="str">
        <f t="shared" si="9"/>
        <v>Aug</v>
      </c>
      <c r="O177" s="4" t="str">
        <f t="shared" si="10"/>
        <v>2011</v>
      </c>
      <c r="P177">
        <v>9</v>
      </c>
      <c r="Q177">
        <v>11</v>
      </c>
      <c r="R177" t="s">
        <v>39</v>
      </c>
      <c r="S177">
        <v>45</v>
      </c>
    </row>
    <row r="178" spans="1:19" x14ac:dyDescent="0.3">
      <c r="A178" t="str">
        <f t="shared" si="11"/>
        <v>EMP177</v>
      </c>
      <c r="B178" t="s">
        <v>868</v>
      </c>
      <c r="C178">
        <v>22</v>
      </c>
      <c r="D178" t="s">
        <v>68</v>
      </c>
      <c r="E178" t="s">
        <v>17</v>
      </c>
      <c r="F178" t="s">
        <v>70</v>
      </c>
      <c r="G178" t="s">
        <v>27</v>
      </c>
      <c r="H178" s="6" t="s">
        <v>62</v>
      </c>
      <c r="I178" s="3">
        <v>250459.98</v>
      </c>
      <c r="J178" t="s">
        <v>695</v>
      </c>
      <c r="K178" t="s">
        <v>22</v>
      </c>
      <c r="L178" s="4">
        <v>44137</v>
      </c>
      <c r="M178" s="4" t="str">
        <f>TEXT(Table2[[#This Row],[Hire_Date]],"ddd")</f>
        <v>Mon</v>
      </c>
      <c r="N178" s="4" t="str">
        <f t="shared" si="9"/>
        <v>Nov</v>
      </c>
      <c r="O178" s="4" t="str">
        <f t="shared" si="10"/>
        <v>2020</v>
      </c>
      <c r="P178">
        <v>5.7</v>
      </c>
      <c r="Q178">
        <v>15</v>
      </c>
      <c r="R178" t="s">
        <v>39</v>
      </c>
      <c r="S178">
        <v>67</v>
      </c>
    </row>
    <row r="179" spans="1:19" x14ac:dyDescent="0.3">
      <c r="A179" t="str">
        <f t="shared" si="11"/>
        <v>EMP178</v>
      </c>
      <c r="B179" t="s">
        <v>869</v>
      </c>
      <c r="C179">
        <v>25</v>
      </c>
      <c r="D179" t="s">
        <v>16</v>
      </c>
      <c r="E179" t="s">
        <v>55</v>
      </c>
      <c r="F179" t="s">
        <v>61</v>
      </c>
      <c r="G179" t="s">
        <v>36</v>
      </c>
      <c r="H179" s="6" t="s">
        <v>62</v>
      </c>
      <c r="I179" s="3">
        <v>87764.05</v>
      </c>
      <c r="J179" t="s">
        <v>698</v>
      </c>
      <c r="K179" t="s">
        <v>699</v>
      </c>
      <c r="L179" s="4">
        <v>42592</v>
      </c>
      <c r="M179" s="4" t="str">
        <f>TEXT(Table2[[#This Row],[Hire_Date]],"ddd")</f>
        <v>Wed</v>
      </c>
      <c r="N179" s="4" t="str">
        <f t="shared" si="9"/>
        <v>Aug</v>
      </c>
      <c r="O179" s="4" t="str">
        <f t="shared" si="10"/>
        <v>2016</v>
      </c>
      <c r="P179">
        <v>6.2</v>
      </c>
      <c r="Q179">
        <v>1</v>
      </c>
      <c r="R179" t="s">
        <v>78</v>
      </c>
      <c r="S179">
        <v>8</v>
      </c>
    </row>
    <row r="180" spans="1:19" x14ac:dyDescent="0.3">
      <c r="A180" t="str">
        <f t="shared" si="11"/>
        <v>EMP179</v>
      </c>
      <c r="B180" t="s">
        <v>870</v>
      </c>
      <c r="C180">
        <v>39</v>
      </c>
      <c r="D180" t="s">
        <v>16</v>
      </c>
      <c r="E180" t="s">
        <v>115</v>
      </c>
      <c r="F180" t="s">
        <v>88</v>
      </c>
      <c r="G180" t="s">
        <v>36</v>
      </c>
      <c r="H180" s="6" t="s">
        <v>62</v>
      </c>
      <c r="I180" s="3">
        <v>613829</v>
      </c>
      <c r="J180" t="s">
        <v>702</v>
      </c>
      <c r="K180" t="s">
        <v>703</v>
      </c>
      <c r="L180" s="4">
        <v>41615</v>
      </c>
      <c r="M180" s="4" t="str">
        <f>TEXT(Table2[[#This Row],[Hire_Date]],"ddd")</f>
        <v>Sat</v>
      </c>
      <c r="N180" s="4" t="str">
        <f t="shared" si="9"/>
        <v>Dec</v>
      </c>
      <c r="O180" s="4" t="str">
        <f t="shared" si="10"/>
        <v>2013</v>
      </c>
      <c r="P180">
        <v>8.5</v>
      </c>
      <c r="Q180">
        <v>24</v>
      </c>
      <c r="R180" t="s">
        <v>39</v>
      </c>
      <c r="S180">
        <v>17</v>
      </c>
    </row>
    <row r="181" spans="1:19" x14ac:dyDescent="0.3">
      <c r="A181" t="str">
        <f t="shared" si="11"/>
        <v>EMP180</v>
      </c>
      <c r="B181" t="s">
        <v>871</v>
      </c>
      <c r="C181">
        <v>29</v>
      </c>
      <c r="D181" t="s">
        <v>16</v>
      </c>
      <c r="E181" t="s">
        <v>115</v>
      </c>
      <c r="F181" t="s">
        <v>61</v>
      </c>
      <c r="G181" t="s">
        <v>94</v>
      </c>
      <c r="H181" s="6" t="s">
        <v>28</v>
      </c>
      <c r="I181" s="3">
        <v>422887</v>
      </c>
      <c r="J181" t="s">
        <v>706</v>
      </c>
      <c r="K181" t="s">
        <v>707</v>
      </c>
      <c r="L181" s="4">
        <v>42330</v>
      </c>
      <c r="M181" s="4" t="str">
        <f>TEXT(Table2[[#This Row],[Hire_Date]],"ddd")</f>
        <v>Sun</v>
      </c>
      <c r="N181" s="4" t="str">
        <f t="shared" si="9"/>
        <v>Nov</v>
      </c>
      <c r="O181" s="4" t="str">
        <f t="shared" si="10"/>
        <v>2015</v>
      </c>
      <c r="P181">
        <v>9.3000000000000007</v>
      </c>
      <c r="Q181">
        <v>27</v>
      </c>
      <c r="R181" t="s">
        <v>39</v>
      </c>
      <c r="S181">
        <v>34</v>
      </c>
    </row>
    <row r="182" spans="1:19" x14ac:dyDescent="0.3">
      <c r="A182" t="str">
        <f t="shared" si="11"/>
        <v>EMP181</v>
      </c>
      <c r="B182" t="s">
        <v>872</v>
      </c>
      <c r="C182">
        <v>47</v>
      </c>
      <c r="D182" t="s">
        <v>68</v>
      </c>
      <c r="E182" t="s">
        <v>76</v>
      </c>
      <c r="F182" t="s">
        <v>70</v>
      </c>
      <c r="G182" t="s">
        <v>27</v>
      </c>
      <c r="H182" s="6" t="s">
        <v>62</v>
      </c>
      <c r="I182" s="3">
        <v>254093.82</v>
      </c>
      <c r="J182" t="s">
        <v>710</v>
      </c>
      <c r="K182" t="s">
        <v>711</v>
      </c>
      <c r="L182" s="4">
        <v>44665</v>
      </c>
      <c r="M182" s="4" t="str">
        <f>TEXT(Table2[[#This Row],[Hire_Date]],"ddd")</f>
        <v>Thu</v>
      </c>
      <c r="N182" s="4" t="str">
        <f t="shared" si="9"/>
        <v>Apr</v>
      </c>
      <c r="O182" s="4" t="str">
        <f t="shared" si="10"/>
        <v>2022</v>
      </c>
      <c r="P182">
        <v>1.3</v>
      </c>
      <c r="Q182">
        <v>13</v>
      </c>
      <c r="R182" t="s">
        <v>78</v>
      </c>
      <c r="S182">
        <v>96</v>
      </c>
    </row>
    <row r="183" spans="1:19" x14ac:dyDescent="0.3">
      <c r="A183" t="str">
        <f t="shared" si="11"/>
        <v>EMP182</v>
      </c>
      <c r="B183" t="s">
        <v>713</v>
      </c>
      <c r="C183">
        <v>58</v>
      </c>
      <c r="D183" t="s">
        <v>16</v>
      </c>
      <c r="E183" t="s">
        <v>121</v>
      </c>
      <c r="F183" t="s">
        <v>93</v>
      </c>
      <c r="G183" t="s">
        <v>94</v>
      </c>
      <c r="H183" s="6" t="s">
        <v>44</v>
      </c>
      <c r="I183" s="3">
        <v>159808.46</v>
      </c>
      <c r="J183" t="s">
        <v>887</v>
      </c>
      <c r="K183" t="s">
        <v>714</v>
      </c>
      <c r="L183" s="4">
        <v>43676</v>
      </c>
      <c r="M183" s="4" t="str">
        <f>TEXT(Table2[[#This Row],[Hire_Date]],"ddd")</f>
        <v>Tue</v>
      </c>
      <c r="N183" s="4" t="str">
        <f t="shared" si="9"/>
        <v>Jul</v>
      </c>
      <c r="O183" s="4" t="str">
        <f t="shared" si="10"/>
        <v>2019</v>
      </c>
      <c r="P183">
        <v>9.6</v>
      </c>
      <c r="Q183">
        <v>31</v>
      </c>
      <c r="R183" t="s">
        <v>39</v>
      </c>
      <c r="S183">
        <v>18</v>
      </c>
    </row>
    <row r="184" spans="1:19" x14ac:dyDescent="0.3">
      <c r="A184" t="str">
        <f t="shared" si="11"/>
        <v>EMP183</v>
      </c>
      <c r="B184" t="s">
        <v>866</v>
      </c>
      <c r="C184">
        <v>35</v>
      </c>
      <c r="D184" t="s">
        <v>16</v>
      </c>
      <c r="E184" t="s">
        <v>17</v>
      </c>
      <c r="F184" t="s">
        <v>61</v>
      </c>
      <c r="G184" t="s">
        <v>36</v>
      </c>
      <c r="H184" s="6" t="s">
        <v>62</v>
      </c>
      <c r="I184" s="3">
        <v>397938.83</v>
      </c>
      <c r="J184" t="s">
        <v>716</v>
      </c>
      <c r="K184" t="s">
        <v>717</v>
      </c>
      <c r="L184" s="4">
        <v>44256</v>
      </c>
      <c r="M184" s="4" t="str">
        <f>TEXT(Table2[[#This Row],[Hire_Date]],"ddd")</f>
        <v>Mon</v>
      </c>
      <c r="N184" s="4" t="str">
        <f t="shared" si="9"/>
        <v>Mar</v>
      </c>
      <c r="O184" s="4" t="str">
        <f t="shared" si="10"/>
        <v>2021</v>
      </c>
      <c r="P184">
        <v>5.6</v>
      </c>
      <c r="Q184">
        <v>27</v>
      </c>
      <c r="R184" t="s">
        <v>39</v>
      </c>
      <c r="S184">
        <v>79</v>
      </c>
    </row>
    <row r="185" spans="1:19" x14ac:dyDescent="0.3">
      <c r="A185" t="str">
        <f t="shared" si="11"/>
        <v>EMP184</v>
      </c>
      <c r="B185" t="s">
        <v>719</v>
      </c>
      <c r="C185">
        <v>52</v>
      </c>
      <c r="D185" t="s">
        <v>16</v>
      </c>
      <c r="E185" t="s">
        <v>69</v>
      </c>
      <c r="F185" t="s">
        <v>93</v>
      </c>
      <c r="G185" t="s">
        <v>43</v>
      </c>
      <c r="H185" s="6" t="s">
        <v>62</v>
      </c>
      <c r="I185" s="3">
        <v>793952.99</v>
      </c>
      <c r="J185" t="s">
        <v>37</v>
      </c>
      <c r="K185" t="s">
        <v>720</v>
      </c>
      <c r="L185" s="4">
        <v>43171</v>
      </c>
      <c r="M185" s="4" t="str">
        <f>TEXT(Table2[[#This Row],[Hire_Date]],"ddd")</f>
        <v>Mon</v>
      </c>
      <c r="N185" s="4" t="str">
        <f t="shared" si="9"/>
        <v>Mar</v>
      </c>
      <c r="O185" s="4" t="str">
        <f t="shared" si="10"/>
        <v>2018</v>
      </c>
      <c r="P185">
        <v>3.7</v>
      </c>
      <c r="Q185">
        <v>22</v>
      </c>
      <c r="R185" t="s">
        <v>39</v>
      </c>
      <c r="S185">
        <v>19</v>
      </c>
    </row>
    <row r="186" spans="1:19" x14ac:dyDescent="0.3">
      <c r="A186" t="str">
        <f t="shared" si="11"/>
        <v>EMP185</v>
      </c>
      <c r="B186" t="s">
        <v>838</v>
      </c>
      <c r="C186">
        <v>37</v>
      </c>
      <c r="D186" t="s">
        <v>33</v>
      </c>
      <c r="E186" t="s">
        <v>76</v>
      </c>
      <c r="F186" t="s">
        <v>61</v>
      </c>
      <c r="G186" t="s">
        <v>43</v>
      </c>
      <c r="H186" s="6" t="s">
        <v>62</v>
      </c>
      <c r="I186" s="3">
        <v>469197.47</v>
      </c>
      <c r="J186" t="s">
        <v>508</v>
      </c>
      <c r="K186" t="s">
        <v>723</v>
      </c>
      <c r="L186" s="4">
        <v>42958</v>
      </c>
      <c r="M186" s="4" t="str">
        <f>TEXT(Table2[[#This Row],[Hire_Date]],"ddd")</f>
        <v>Fri</v>
      </c>
      <c r="N186" s="4" t="str">
        <f t="shared" si="9"/>
        <v>Aug</v>
      </c>
      <c r="O186" s="4" t="str">
        <f t="shared" si="10"/>
        <v>2017</v>
      </c>
      <c r="P186">
        <v>7.7</v>
      </c>
      <c r="Q186">
        <v>9</v>
      </c>
      <c r="R186" t="s">
        <v>39</v>
      </c>
      <c r="S186">
        <v>92</v>
      </c>
    </row>
    <row r="187" spans="1:19" x14ac:dyDescent="0.3">
      <c r="A187" t="str">
        <f t="shared" si="11"/>
        <v>EMP186</v>
      </c>
      <c r="B187" t="s">
        <v>857</v>
      </c>
      <c r="C187" t="s">
        <v>887</v>
      </c>
      <c r="D187" t="s">
        <v>68</v>
      </c>
      <c r="E187" t="s">
        <v>99</v>
      </c>
      <c r="F187" t="s">
        <v>88</v>
      </c>
      <c r="G187" t="s">
        <v>36</v>
      </c>
      <c r="H187" s="6" t="s">
        <v>62</v>
      </c>
      <c r="I187" s="3">
        <v>301282.88</v>
      </c>
      <c r="J187" t="s">
        <v>632</v>
      </c>
      <c r="K187" t="s">
        <v>726</v>
      </c>
      <c r="L187" s="4">
        <v>44251</v>
      </c>
      <c r="M187" s="4" t="str">
        <f>TEXT(Table2[[#This Row],[Hire_Date]],"ddd")</f>
        <v>Wed</v>
      </c>
      <c r="N187" s="4" t="str">
        <f t="shared" si="9"/>
        <v>Feb</v>
      </c>
      <c r="O187" s="4" t="str">
        <f t="shared" si="10"/>
        <v>2021</v>
      </c>
      <c r="P187">
        <v>2.2000000000000002</v>
      </c>
      <c r="Q187">
        <v>2</v>
      </c>
      <c r="R187" t="s">
        <v>78</v>
      </c>
      <c r="S187">
        <v>27</v>
      </c>
    </row>
    <row r="188" spans="1:19" x14ac:dyDescent="0.3">
      <c r="A188" t="str">
        <f t="shared" si="11"/>
        <v>EMP187</v>
      </c>
      <c r="B188" t="s">
        <v>873</v>
      </c>
      <c r="C188">
        <v>57</v>
      </c>
      <c r="D188" t="s">
        <v>887</v>
      </c>
      <c r="E188" t="s">
        <v>80</v>
      </c>
      <c r="F188" t="s">
        <v>48</v>
      </c>
      <c r="G188" t="s">
        <v>94</v>
      </c>
      <c r="H188" s="6" t="s">
        <v>62</v>
      </c>
      <c r="I188" s="3">
        <v>499029.78</v>
      </c>
      <c r="J188" t="s">
        <v>729</v>
      </c>
      <c r="K188" t="s">
        <v>730</v>
      </c>
      <c r="L188" s="4">
        <v>44168</v>
      </c>
      <c r="M188" s="4" t="str">
        <f>TEXT(Table2[[#This Row],[Hire_Date]],"ddd")</f>
        <v>Thu</v>
      </c>
      <c r="N188" s="4" t="str">
        <f t="shared" si="9"/>
        <v>Dec</v>
      </c>
      <c r="O188" s="4" t="str">
        <f t="shared" si="10"/>
        <v>2020</v>
      </c>
      <c r="P188">
        <v>2.9</v>
      </c>
      <c r="Q188">
        <v>26</v>
      </c>
      <c r="R188" t="s">
        <v>78</v>
      </c>
      <c r="S188">
        <v>4</v>
      </c>
    </row>
    <row r="189" spans="1:19" x14ac:dyDescent="0.3">
      <c r="A189" t="str">
        <f t="shared" si="11"/>
        <v>EMP188</v>
      </c>
      <c r="B189" t="s">
        <v>732</v>
      </c>
      <c r="C189" t="s">
        <v>887</v>
      </c>
      <c r="D189" t="s">
        <v>16</v>
      </c>
      <c r="E189" t="s">
        <v>76</v>
      </c>
      <c r="F189" t="s">
        <v>88</v>
      </c>
      <c r="G189" t="s">
        <v>94</v>
      </c>
      <c r="H189" s="6" t="s">
        <v>62</v>
      </c>
      <c r="I189" s="3">
        <v>249660.09</v>
      </c>
      <c r="J189" t="s">
        <v>604</v>
      </c>
      <c r="K189" t="s">
        <v>22</v>
      </c>
      <c r="L189" s="4">
        <v>41975</v>
      </c>
      <c r="M189" s="4" t="str">
        <f>TEXT(Table2[[#This Row],[Hire_Date]],"ddd")</f>
        <v>Tue</v>
      </c>
      <c r="N189" s="4" t="str">
        <f t="shared" si="9"/>
        <v>Dec</v>
      </c>
      <c r="O189" s="4" t="str">
        <f t="shared" si="10"/>
        <v>2014</v>
      </c>
      <c r="P189">
        <v>6.8</v>
      </c>
      <c r="Q189">
        <v>21</v>
      </c>
      <c r="R189" t="s">
        <v>39</v>
      </c>
      <c r="S189">
        <v>10</v>
      </c>
    </row>
    <row r="190" spans="1:19" x14ac:dyDescent="0.3">
      <c r="A190" t="str">
        <f t="shared" si="11"/>
        <v>EMP189</v>
      </c>
      <c r="B190" t="s">
        <v>734</v>
      </c>
      <c r="C190">
        <v>53</v>
      </c>
      <c r="D190" t="s">
        <v>68</v>
      </c>
      <c r="E190" t="s">
        <v>99</v>
      </c>
      <c r="F190" t="s">
        <v>70</v>
      </c>
      <c r="G190" t="s">
        <v>36</v>
      </c>
      <c r="H190" s="6" t="s">
        <v>62</v>
      </c>
      <c r="I190" s="3">
        <v>249415.88</v>
      </c>
      <c r="J190" t="s">
        <v>735</v>
      </c>
      <c r="K190" t="s">
        <v>736</v>
      </c>
      <c r="L190" s="4">
        <v>41081</v>
      </c>
      <c r="M190" s="4" t="str">
        <f>TEXT(Table2[[#This Row],[Hire_Date]],"ddd")</f>
        <v>Thu</v>
      </c>
      <c r="N190" s="4" t="str">
        <f t="shared" si="9"/>
        <v>Jun</v>
      </c>
      <c r="O190" s="4" t="str">
        <f t="shared" si="10"/>
        <v>2012</v>
      </c>
      <c r="P190">
        <v>1.5</v>
      </c>
      <c r="Q190">
        <v>29</v>
      </c>
      <c r="R190" t="s">
        <v>78</v>
      </c>
      <c r="S190">
        <v>72</v>
      </c>
    </row>
    <row r="191" spans="1:19" x14ac:dyDescent="0.3">
      <c r="A191" t="str">
        <f t="shared" si="11"/>
        <v>EMP190</v>
      </c>
      <c r="B191" t="s">
        <v>874</v>
      </c>
      <c r="C191">
        <v>43</v>
      </c>
      <c r="D191" t="s">
        <v>68</v>
      </c>
      <c r="E191" t="s">
        <v>129</v>
      </c>
      <c r="F191" t="s">
        <v>48</v>
      </c>
      <c r="G191" t="s">
        <v>116</v>
      </c>
      <c r="H191" s="6" t="s">
        <v>28</v>
      </c>
      <c r="I191" s="3">
        <v>122949.24</v>
      </c>
      <c r="J191" t="s">
        <v>739</v>
      </c>
      <c r="K191" t="s">
        <v>740</v>
      </c>
      <c r="L191" s="4">
        <v>42596</v>
      </c>
      <c r="M191" s="4" t="str">
        <f>TEXT(Table2[[#This Row],[Hire_Date]],"ddd")</f>
        <v>Sun</v>
      </c>
      <c r="N191" s="4" t="str">
        <f t="shared" si="9"/>
        <v>Aug</v>
      </c>
      <c r="O191" s="4" t="str">
        <f t="shared" si="10"/>
        <v>2016</v>
      </c>
      <c r="P191">
        <v>0</v>
      </c>
      <c r="Q191">
        <v>27</v>
      </c>
      <c r="R191" t="s">
        <v>78</v>
      </c>
      <c r="S191">
        <v>43</v>
      </c>
    </row>
    <row r="192" spans="1:19" x14ac:dyDescent="0.3">
      <c r="A192" t="str">
        <f t="shared" si="11"/>
        <v>EMP191</v>
      </c>
      <c r="B192" t="s">
        <v>849</v>
      </c>
      <c r="C192" t="s">
        <v>887</v>
      </c>
      <c r="D192" t="s">
        <v>68</v>
      </c>
      <c r="E192" t="s">
        <v>17</v>
      </c>
      <c r="F192" t="s">
        <v>61</v>
      </c>
      <c r="G192" t="s">
        <v>43</v>
      </c>
      <c r="H192" s="6" t="s">
        <v>62</v>
      </c>
      <c r="I192" s="3">
        <v>793716.92</v>
      </c>
      <c r="J192" t="s">
        <v>574</v>
      </c>
      <c r="K192" t="s">
        <v>742</v>
      </c>
      <c r="L192" s="4">
        <v>44236</v>
      </c>
      <c r="M192" s="4" t="str">
        <f>TEXT(Table2[[#This Row],[Hire_Date]],"ddd")</f>
        <v>Tue</v>
      </c>
      <c r="N192" s="4" t="str">
        <f t="shared" si="9"/>
        <v>Feb</v>
      </c>
      <c r="O192" s="4" t="str">
        <f t="shared" si="10"/>
        <v>2021</v>
      </c>
      <c r="P192">
        <v>5.3</v>
      </c>
      <c r="Q192">
        <v>1</v>
      </c>
      <c r="R192" t="s">
        <v>39</v>
      </c>
      <c r="S192">
        <v>87</v>
      </c>
    </row>
    <row r="193" spans="1:19" x14ac:dyDescent="0.3">
      <c r="A193" t="str">
        <f t="shared" si="11"/>
        <v>EMP192</v>
      </c>
      <c r="B193" t="s">
        <v>875</v>
      </c>
      <c r="C193" t="s">
        <v>887</v>
      </c>
      <c r="D193" t="s">
        <v>68</v>
      </c>
      <c r="E193" t="s">
        <v>121</v>
      </c>
      <c r="F193" t="s">
        <v>88</v>
      </c>
      <c r="G193" t="s">
        <v>94</v>
      </c>
      <c r="H193" s="6" t="s">
        <v>62</v>
      </c>
      <c r="I193" s="3">
        <v>531659.62</v>
      </c>
      <c r="J193" t="s">
        <v>745</v>
      </c>
      <c r="K193"/>
      <c r="L193" s="4">
        <v>45196</v>
      </c>
      <c r="M193" s="4" t="str">
        <f>TEXT(Table2[[#This Row],[Hire_Date]],"ddd")</f>
        <v>Wed</v>
      </c>
      <c r="N193" s="4" t="str">
        <f t="shared" si="9"/>
        <v>Sep</v>
      </c>
      <c r="O193" s="4" t="str">
        <f t="shared" si="10"/>
        <v>2023</v>
      </c>
      <c r="P193">
        <v>2</v>
      </c>
      <c r="Q193">
        <v>23</v>
      </c>
      <c r="R193" t="s">
        <v>39</v>
      </c>
      <c r="S193">
        <v>7</v>
      </c>
    </row>
    <row r="194" spans="1:19" x14ac:dyDescent="0.3">
      <c r="A194" t="str">
        <f t="shared" ref="A194:A201" si="12">"EMP"&amp;TEXT(ROW()-1,"000")</f>
        <v>EMP193</v>
      </c>
      <c r="B194" t="s">
        <v>876</v>
      </c>
      <c r="C194">
        <v>37</v>
      </c>
      <c r="D194" t="s">
        <v>68</v>
      </c>
      <c r="E194" t="s">
        <v>76</v>
      </c>
      <c r="F194" t="s">
        <v>18</v>
      </c>
      <c r="G194" t="s">
        <v>43</v>
      </c>
      <c r="H194" s="6" t="s">
        <v>62</v>
      </c>
      <c r="I194" s="3">
        <v>610913.65</v>
      </c>
      <c r="J194" t="s">
        <v>748</v>
      </c>
      <c r="K194" t="s">
        <v>749</v>
      </c>
      <c r="L194" s="4">
        <v>43068</v>
      </c>
      <c r="M194" s="4" t="str">
        <f>TEXT(Table2[[#This Row],[Hire_Date]],"ddd")</f>
        <v>Wed</v>
      </c>
      <c r="N194" s="4" t="str">
        <f t="shared" si="9"/>
        <v>Nov</v>
      </c>
      <c r="O194" s="4" t="str">
        <f t="shared" si="10"/>
        <v>2017</v>
      </c>
      <c r="P194">
        <v>7.4</v>
      </c>
      <c r="Q194">
        <v>18</v>
      </c>
      <c r="R194" t="s">
        <v>78</v>
      </c>
      <c r="S194">
        <v>95</v>
      </c>
    </row>
    <row r="195" spans="1:19" x14ac:dyDescent="0.3">
      <c r="A195" t="str">
        <f t="shared" si="12"/>
        <v>EMP194</v>
      </c>
      <c r="B195" t="s">
        <v>818</v>
      </c>
      <c r="C195">
        <v>27</v>
      </c>
      <c r="D195" t="s">
        <v>33</v>
      </c>
      <c r="E195" t="s">
        <v>17</v>
      </c>
      <c r="F195" t="s">
        <v>61</v>
      </c>
      <c r="G195" t="s">
        <v>94</v>
      </c>
      <c r="H195" s="6" t="s">
        <v>44</v>
      </c>
      <c r="I195" s="3">
        <v>287628.34000000003</v>
      </c>
      <c r="J195" t="s">
        <v>357</v>
      </c>
      <c r="K195" t="s">
        <v>753</v>
      </c>
      <c r="L195" s="4">
        <v>41852</v>
      </c>
      <c r="M195" s="4" t="str">
        <f>TEXT(Table2[[#This Row],[Hire_Date]],"ddd")</f>
        <v>Fri</v>
      </c>
      <c r="N195" s="4" t="str">
        <f t="shared" ref="N195:N201" si="13">TEXT(L195,"MMM")</f>
        <v>Aug</v>
      </c>
      <c r="O195" s="4" t="str">
        <f t="shared" ref="O195:O201" si="14">TEXT(L195,"YYY")</f>
        <v>2014</v>
      </c>
      <c r="P195">
        <v>0</v>
      </c>
      <c r="Q195">
        <v>33</v>
      </c>
      <c r="R195" t="s">
        <v>39</v>
      </c>
      <c r="S195">
        <v>66</v>
      </c>
    </row>
    <row r="196" spans="1:19" x14ac:dyDescent="0.3">
      <c r="A196" t="str">
        <f t="shared" si="12"/>
        <v>EMP195</v>
      </c>
      <c r="B196" t="s">
        <v>224</v>
      </c>
      <c r="C196">
        <v>55</v>
      </c>
      <c r="D196" t="s">
        <v>16</v>
      </c>
      <c r="E196" t="s">
        <v>55</v>
      </c>
      <c r="F196" t="s">
        <v>61</v>
      </c>
      <c r="G196" t="s">
        <v>27</v>
      </c>
      <c r="H196" s="6" t="s">
        <v>62</v>
      </c>
      <c r="I196" s="3">
        <v>298939.28000000003</v>
      </c>
      <c r="J196" t="s">
        <v>225</v>
      </c>
      <c r="K196" t="s">
        <v>755</v>
      </c>
      <c r="L196" s="4">
        <v>42539</v>
      </c>
      <c r="M196" s="4" t="str">
        <f>TEXT(Table2[[#This Row],[Hire_Date]],"ddd")</f>
        <v>Sat</v>
      </c>
      <c r="N196" s="4" t="str">
        <f t="shared" si="13"/>
        <v>Jun</v>
      </c>
      <c r="O196" s="4" t="str">
        <f t="shared" si="14"/>
        <v>2016</v>
      </c>
      <c r="P196">
        <v>9.8000000000000007</v>
      </c>
      <c r="Q196">
        <v>9</v>
      </c>
      <c r="R196" t="s">
        <v>78</v>
      </c>
      <c r="S196">
        <v>0</v>
      </c>
    </row>
    <row r="197" spans="1:19" x14ac:dyDescent="0.3">
      <c r="A197" t="str">
        <f t="shared" si="12"/>
        <v>EMP196</v>
      </c>
      <c r="B197" t="s">
        <v>877</v>
      </c>
      <c r="C197">
        <v>45</v>
      </c>
      <c r="D197" t="s">
        <v>68</v>
      </c>
      <c r="E197" t="s">
        <v>115</v>
      </c>
      <c r="F197" t="s">
        <v>18</v>
      </c>
      <c r="G197" t="s">
        <v>43</v>
      </c>
      <c r="H197" s="6" t="s">
        <v>62</v>
      </c>
      <c r="I197" s="3">
        <v>104976.14</v>
      </c>
      <c r="J197" t="s">
        <v>758</v>
      </c>
      <c r="K197" t="s">
        <v>22</v>
      </c>
      <c r="L197" s="4">
        <v>42649</v>
      </c>
      <c r="M197" s="4" t="str">
        <f>TEXT(Table2[[#This Row],[Hire_Date]],"ddd")</f>
        <v>Thu</v>
      </c>
      <c r="N197" s="4" t="str">
        <f t="shared" si="13"/>
        <v>Oct</v>
      </c>
      <c r="O197" s="4" t="str">
        <f t="shared" si="14"/>
        <v>2016</v>
      </c>
      <c r="P197">
        <v>4</v>
      </c>
      <c r="Q197">
        <v>18</v>
      </c>
      <c r="R197" t="s">
        <v>39</v>
      </c>
      <c r="S197">
        <v>57</v>
      </c>
    </row>
    <row r="198" spans="1:19" x14ac:dyDescent="0.3">
      <c r="A198" t="str">
        <f t="shared" si="12"/>
        <v>EMP197</v>
      </c>
      <c r="B198" t="s">
        <v>841</v>
      </c>
      <c r="C198">
        <v>43</v>
      </c>
      <c r="D198" t="s">
        <v>16</v>
      </c>
      <c r="E198" t="s">
        <v>69</v>
      </c>
      <c r="F198" t="s">
        <v>88</v>
      </c>
      <c r="G198" t="s">
        <v>94</v>
      </c>
      <c r="H198" s="6" t="s">
        <v>28</v>
      </c>
      <c r="I198" s="3">
        <v>728125.62</v>
      </c>
      <c r="J198" t="s">
        <v>530</v>
      </c>
      <c r="K198" t="s">
        <v>761</v>
      </c>
      <c r="L198" s="4">
        <v>43106</v>
      </c>
      <c r="M198" s="4" t="str">
        <f>TEXT(Table2[[#This Row],[Hire_Date]],"ddd")</f>
        <v>Sat</v>
      </c>
      <c r="N198" s="4" t="str">
        <f t="shared" si="13"/>
        <v>Jan</v>
      </c>
      <c r="O198" s="4" t="str">
        <f t="shared" si="14"/>
        <v>2018</v>
      </c>
      <c r="P198">
        <v>9.8000000000000007</v>
      </c>
      <c r="Q198">
        <v>32</v>
      </c>
      <c r="R198" t="s">
        <v>78</v>
      </c>
      <c r="S198">
        <v>15</v>
      </c>
    </row>
    <row r="199" spans="1:19" x14ac:dyDescent="0.3">
      <c r="A199" t="str">
        <f t="shared" si="12"/>
        <v>EMP198</v>
      </c>
      <c r="B199" t="s">
        <v>878</v>
      </c>
      <c r="C199">
        <v>22</v>
      </c>
      <c r="D199" t="s">
        <v>887</v>
      </c>
      <c r="E199" t="s">
        <v>55</v>
      </c>
      <c r="F199" t="s">
        <v>18</v>
      </c>
      <c r="G199" t="s">
        <v>94</v>
      </c>
      <c r="H199" s="6" t="s">
        <v>62</v>
      </c>
      <c r="I199" s="3">
        <v>0</v>
      </c>
      <c r="J199" t="s">
        <v>764</v>
      </c>
      <c r="K199" t="s">
        <v>765</v>
      </c>
      <c r="L199" s="4">
        <v>41520</v>
      </c>
      <c r="M199" s="4" t="str">
        <f>TEXT(Table2[[#This Row],[Hire_Date]],"ddd")</f>
        <v>Tue</v>
      </c>
      <c r="N199" s="4" t="str">
        <f t="shared" si="13"/>
        <v>Sep</v>
      </c>
      <c r="O199" s="4" t="str">
        <f t="shared" si="14"/>
        <v>2013</v>
      </c>
      <c r="P199">
        <v>9.9</v>
      </c>
      <c r="Q199">
        <v>24</v>
      </c>
      <c r="R199" t="s">
        <v>78</v>
      </c>
      <c r="S199">
        <v>27</v>
      </c>
    </row>
    <row r="200" spans="1:19" x14ac:dyDescent="0.3">
      <c r="A200" t="str">
        <f t="shared" si="12"/>
        <v>EMP199</v>
      </c>
      <c r="B200" t="s">
        <v>470</v>
      </c>
      <c r="C200">
        <v>30</v>
      </c>
      <c r="D200" t="s">
        <v>68</v>
      </c>
      <c r="E200" t="s">
        <v>129</v>
      </c>
      <c r="F200" t="s">
        <v>61</v>
      </c>
      <c r="G200" t="s">
        <v>43</v>
      </c>
      <c r="H200" s="6" t="s">
        <v>62</v>
      </c>
      <c r="I200" s="3">
        <v>288413.48</v>
      </c>
      <c r="J200" t="s">
        <v>471</v>
      </c>
      <c r="K200" t="s">
        <v>22</v>
      </c>
      <c r="L200" s="4">
        <v>43975</v>
      </c>
      <c r="M200" s="4" t="str">
        <f>TEXT(Table2[[#This Row],[Hire_Date]],"ddd")</f>
        <v>Sun</v>
      </c>
      <c r="N200" s="4" t="str">
        <f t="shared" si="13"/>
        <v>May</v>
      </c>
      <c r="O200" s="4" t="str">
        <f t="shared" si="14"/>
        <v>2020</v>
      </c>
      <c r="P200">
        <v>5.4</v>
      </c>
      <c r="Q200">
        <v>7</v>
      </c>
      <c r="R200" t="s">
        <v>78</v>
      </c>
      <c r="S200">
        <v>7</v>
      </c>
    </row>
    <row r="201" spans="1:19" x14ac:dyDescent="0.3">
      <c r="A201" t="str">
        <f t="shared" si="12"/>
        <v>EMP200</v>
      </c>
      <c r="B201" t="s">
        <v>879</v>
      </c>
      <c r="C201">
        <v>49</v>
      </c>
      <c r="D201" t="s">
        <v>68</v>
      </c>
      <c r="E201" t="s">
        <v>99</v>
      </c>
      <c r="F201" t="s">
        <v>48</v>
      </c>
      <c r="G201" t="s">
        <v>94</v>
      </c>
      <c r="H201" s="6" t="s">
        <v>44</v>
      </c>
      <c r="I201" s="3">
        <v>422749.31</v>
      </c>
      <c r="J201" t="s">
        <v>770</v>
      </c>
      <c r="K201" t="s">
        <v>22</v>
      </c>
      <c r="L201" s="4">
        <v>40658</v>
      </c>
      <c r="M201" s="4" t="str">
        <f>TEXT(Table2[[#This Row],[Hire_Date]],"ddd")</f>
        <v>Mon</v>
      </c>
      <c r="N201" s="4" t="str">
        <f t="shared" si="13"/>
        <v>Apr</v>
      </c>
      <c r="O201" s="4" t="str">
        <f t="shared" si="14"/>
        <v>2011</v>
      </c>
      <c r="P201">
        <v>3.6</v>
      </c>
      <c r="Q201">
        <v>12</v>
      </c>
      <c r="R201" t="s">
        <v>903</v>
      </c>
      <c r="S201">
        <v>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Guide</vt:lpstr>
      <vt:lpstr>cleaned-data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2026-05-21T20:31:07Z</dcterms:created>
  <dcterms:modified xsi:type="dcterms:W3CDTF">2026-05-22T01:50:14Z</dcterms:modified>
</cp:coreProperties>
</file>